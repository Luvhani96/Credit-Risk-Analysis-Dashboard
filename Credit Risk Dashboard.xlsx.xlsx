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40dd45bbc8054027/Documents/DATA/data/Greman Credit/"/>
    </mc:Choice>
  </mc:AlternateContent>
  <xr:revisionPtr revIDLastSave="0" documentId="8_{48178DDE-FFF1-4362-950A-04ED6F2244C5}" xr6:coauthVersionLast="47" xr6:coauthVersionMax="47" xr10:uidLastSave="{00000000-0000-0000-0000-000000000000}"/>
  <bookViews>
    <workbookView xWindow="-108" yWindow="-108" windowWidth="23256" windowHeight="12456" firstSheet="1" activeTab="3" xr2:uid="{FAC06C8A-D9FB-4FFD-91C9-E4676B6445CB}"/>
  </bookViews>
  <sheets>
    <sheet name="German Credit Analysis" sheetId="1" r:id="rId1"/>
    <sheet name="Working Sheet" sheetId="2" r:id="rId2"/>
    <sheet name="Pivot table" sheetId="3" r:id="rId3"/>
    <sheet name="Credit Risk Analysis Dashboard" sheetId="4" r:id="rId4"/>
    <sheet name="KPI " sheetId="5" r:id="rId5"/>
  </sheets>
  <definedNames>
    <definedName name="_xlnm._FilterDatabase" localSheetId="1" hidden="1">'Working Sheet'!$A$1:$I$1001</definedName>
    <definedName name="_xlnm.Print_Area" localSheetId="3">'Credit Risk Analysis Dashboard'!$A$1:$U$53</definedName>
    <definedName name="Slicer_Age_Group">#N/A</definedName>
    <definedName name="Slicer_Loan_Duration_Group">#N/A</definedName>
    <definedName name="Slicer_Purpose">#N/A</definedName>
    <definedName name="Slicer_Risk">#N/A</definedName>
  </definedNames>
  <calcPr calcId="191029"/>
  <pivotCaches>
    <pivotCache cacheId="19" r:id="rId6"/>
    <pivotCache cacheId="24"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T11" i="4"/>
  <c r="T10" i="4"/>
  <c r="T9" i="4"/>
  <c r="C11" i="5"/>
  <c r="C10" i="5"/>
  <c r="C9" i="5"/>
  <c r="R9" i="4"/>
  <c r="R10" i="4"/>
  <c r="R11" i="4"/>
  <c r="B11" i="5"/>
  <c r="S11" i="4" s="1"/>
  <c r="B10" i="5"/>
  <c r="S10" i="4" s="1"/>
  <c r="B9" i="5"/>
  <c r="S9" i="4" s="1"/>
  <c r="B6" i="5"/>
  <c r="B5" i="5"/>
  <c r="B4" i="5"/>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2" i="2"/>
</calcChain>
</file>

<file path=xl/sharedStrings.xml><?xml version="1.0" encoding="utf-8"?>
<sst xmlns="http://schemas.openxmlformats.org/spreadsheetml/2006/main" count="6076" uniqueCount="1061">
  <si>
    <t>,Age,Sex,Job,Housing,Saving accounts,Checking account,Credit amount,Duration,Purpose</t>
  </si>
  <si>
    <t>0,67,male,2,own,NA,little,1169,6,radio/TV</t>
  </si>
  <si>
    <t>1,22,female,2,own,little,moderate,5951,48,radio/TV</t>
  </si>
  <si>
    <t>2,49,male,1,own,little,NA,2096,12,education</t>
  </si>
  <si>
    <t>3,45,male,2,free,little,little,7882,42,furniture/equipment</t>
  </si>
  <si>
    <t>4,53,male,2,free,little,little,4870,24,car</t>
  </si>
  <si>
    <t>5,35,male,1,free,NA,NA,9055,36,education</t>
  </si>
  <si>
    <t>6,53,male,2,own,quite rich,NA,2835,24,furniture/equipment</t>
  </si>
  <si>
    <t>7,35,male,3,rent,little,moderate,6948,36,car</t>
  </si>
  <si>
    <t>8,61,male,1,own,rich,NA,3059,12,radio/TV</t>
  </si>
  <si>
    <t>9,28,male,3,own,little,moderate,5234,30,car</t>
  </si>
  <si>
    <t>10,25,female,2,rent,little,moderate,1295,12,car</t>
  </si>
  <si>
    <t>11,24,female,2,rent,little,little,4308,48,business</t>
  </si>
  <si>
    <t>12,22,female,2,own,little,moderate,1567,12,radio/TV</t>
  </si>
  <si>
    <t>13,60,male,1,own,little,little,1199,24,car</t>
  </si>
  <si>
    <t>14,28,female,2,rent,little,little,1403,15,car</t>
  </si>
  <si>
    <t>15,32,female,1,own,moderate,little,1282,24,radio/TV</t>
  </si>
  <si>
    <t>16,53,male,2,own,NA,NA,2424,24,radio/TV</t>
  </si>
  <si>
    <t>17,25,male,2,own,NA,little,8072,30,business</t>
  </si>
  <si>
    <t>18,44,female,3,free,little,moderate,12579,24,car</t>
  </si>
  <si>
    <t>19,31,male,2,own,quite rich,NA,3430,24,radio/TV</t>
  </si>
  <si>
    <t>20,48,male,2,own,little,NA,2134,9,car</t>
  </si>
  <si>
    <t>21,44,male,2,rent,quite rich,little,2647,6,radio/TV</t>
  </si>
  <si>
    <t>22,48,male,1,rent,little,little,2241,10,car</t>
  </si>
  <si>
    <t>23,44,male,2,own,moderate,moderate,1804,12,car</t>
  </si>
  <si>
    <t>24,26,male,2,own,NA,NA,2069,10,furniture/equipment</t>
  </si>
  <si>
    <t>25,36,male,1,own,little,little,1374,6,furniture/equipment</t>
  </si>
  <si>
    <t>26,39,male,1,own,little,NA,426,6,radio/TV</t>
  </si>
  <si>
    <t>27,42,female,2,rent,rich,rich,409,12,radio/TV</t>
  </si>
  <si>
    <t>28,34,male,2,own,little,moderate,2415,7,radio/TV</t>
  </si>
  <si>
    <t>29,63,male,2,own,little,little,6836,60,business</t>
  </si>
  <si>
    <t>30,36,male,2,own,rich,moderate,1913,18,business</t>
  </si>
  <si>
    <t>31,27,male,2,own,little,little,4020,24,furniture/equipment</t>
  </si>
  <si>
    <t>32,30,male,2,own,moderate,moderate,5866,18,car</t>
  </si>
  <si>
    <t>33,57,male,1,rent,NA,NA,1264,12,business</t>
  </si>
  <si>
    <t>34,33,female,3,own,little,rich,1474,12,furniture/equipment</t>
  </si>
  <si>
    <t>35,25,male,1,own,little,moderate,4746,45,radio/TV</t>
  </si>
  <si>
    <t>36,31,male,2,free,little,NA,6110,48,education</t>
  </si>
  <si>
    <t>37,37,male,2,own,little,rich,2100,18,radio/TV</t>
  </si>
  <si>
    <t>38,37,male,2,own,little,rich,1225,10,domestic appliances</t>
  </si>
  <si>
    <t>39,24,male,2,own,little,moderate,458,9,radio/TV</t>
  </si>
  <si>
    <t>40,30,male,3,own,quite rich,NA,2333,30,radio/TV</t>
  </si>
  <si>
    <t>41,26,male,2,own,quite rich,moderate,1158,12,radio/TV</t>
  </si>
  <si>
    <t>42,44,male,1,own,little,moderate,6204,18,repairs</t>
  </si>
  <si>
    <t>43,24,male,2,rent,moderate,little,6187,30,car</t>
  </si>
  <si>
    <t>44,58,female,1,free,little,little,6143,48,car</t>
  </si>
  <si>
    <t>45,35,female,3,own,little,NA,1393,11,car</t>
  </si>
  <si>
    <t>46,39,male,2,own,quite rich,NA,2299,36,radio/TV</t>
  </si>
  <si>
    <t>47,23,female,0,rent,quite rich,little,1352,6,car</t>
  </si>
  <si>
    <t>48,39,male,1,own,little,NA,7228,11,car</t>
  </si>
  <si>
    <t>49,28,female,2,own,moderate,NA,2073,12,radio/TV</t>
  </si>
  <si>
    <t>50,29,male,1,own,NA,moderate,2333,24,furniture/equipment</t>
  </si>
  <si>
    <t>51,30,male,3,own,little,moderate,5965,27,car</t>
  </si>
  <si>
    <t>52,25,male,2,own,little,NA,1262,12,radio/TV</t>
  </si>
  <si>
    <t>53,31,male,2,own,NA,NA,3378,18,car</t>
  </si>
  <si>
    <t>54,57,male,2,free,little,moderate,2225,36,car</t>
  </si>
  <si>
    <t>55,26,male,1,own,NA,NA,783,6,car</t>
  </si>
  <si>
    <t>56,52,male,3,own,NA,moderate,6468,12,radio/TV</t>
  </si>
  <si>
    <t>57,31,female,2,own,little,NA,9566,36,radio/TV</t>
  </si>
  <si>
    <t>58,23,female,3,own,little,rich,1961,18,car</t>
  </si>
  <si>
    <t>59,23,female,1,rent,little,little,6229,36,furniture/equipment</t>
  </si>
  <si>
    <t>60,27,male,2,own,little,moderate,1391,9,business</t>
  </si>
  <si>
    <t>61,50,male,2,own,NA,moderate,1537,15,radio/TV</t>
  </si>
  <si>
    <t>62,61,male,3,free,little,moderate,1953,36,business</t>
  </si>
  <si>
    <t>63,25,male,2,own,little,moderate,14421,48,business</t>
  </si>
  <si>
    <t>64,26,female,2,own,little,NA,3181,24,radio/TV</t>
  </si>
  <si>
    <t>65,48,male,2,own,NA,NA,5190,27,repairs</t>
  </si>
  <si>
    <t>66,29,female,2,own,little,NA,2171,12,radio/TV</t>
  </si>
  <si>
    <t>67,22,male,2,own,rich,moderate,1007,12,car</t>
  </si>
  <si>
    <t>68,37,male,2,free,little,NA,1819,36,education</t>
  </si>
  <si>
    <t>69,25,female,2,own,NA,NA,2394,36,radio/TV</t>
  </si>
  <si>
    <t>70,30,female,2,own,little,NA,8133,36,car</t>
  </si>
  <si>
    <t>71,46,male,1,rent,NA,NA,730,7,radio/TV</t>
  </si>
  <si>
    <t>72,51,male,3,free,little,little,1164,8,vacation/others</t>
  </si>
  <si>
    <t>73,41,female,1,own,little,moderate,5954,42,business</t>
  </si>
  <si>
    <t>74,40,male,3,own,NA,little,1977,36,education</t>
  </si>
  <si>
    <t>75,66,male,3,free,little,little,1526,12,car</t>
  </si>
  <si>
    <t>76,34,male,2,own,little,little,3965,42,radio/TV</t>
  </si>
  <si>
    <t>77,51,male,2,own,little,moderate,4771,11,radio/TV</t>
  </si>
  <si>
    <t>78,39,male,1,own,NA,NA,9436,54,car</t>
  </si>
  <si>
    <t>79,22,male,2,own,little,moderate,3832,30,furniture/equipment</t>
  </si>
  <si>
    <t>80,44,female,2,own,NA,NA,5943,24,radio/TV</t>
  </si>
  <si>
    <t>81,47,male,2,own,quite rich,NA,1213,15,radio/TV</t>
  </si>
  <si>
    <t>82,24,female,1,rent,moderate,NA,1568,18,business</t>
  </si>
  <si>
    <t>83,58,female,1,own,little,little,1755,24,vacation/others</t>
  </si>
  <si>
    <t>84,52,male,1,own,little,little,2315,10,radio/TV</t>
  </si>
  <si>
    <t>85,29,female,3,own,little,NA,1412,12,business</t>
  </si>
  <si>
    <t>86,27,female,2,own,little,moderate,1295,18,furniture/equipment</t>
  </si>
  <si>
    <t>87,47,male,2,free,moderate,moderate,12612,36,education</t>
  </si>
  <si>
    <t>88,30,male,3,own,moderate,little,2249,18,car</t>
  </si>
  <si>
    <t>89,28,male,2,own,little,little,1108,12,repairs</t>
  </si>
  <si>
    <t>90,56,male,2,own,little,NA,618,12,radio/TV</t>
  </si>
  <si>
    <t>91,54,male,2,own,little,little,1409,12,car</t>
  </si>
  <si>
    <t>92,33,female,1,own,NA,NA,797,12,radio/TV</t>
  </si>
  <si>
    <t>93,20,male,2,rent,NA,rich,3617,24,furniture/equipment</t>
  </si>
  <si>
    <t>94,54,male,2,own,rich,moderate,1318,12,car</t>
  </si>
  <si>
    <t>95,58,male,2,rent,little,moderate,15945,54,business</t>
  </si>
  <si>
    <t>96,61,female,2,own,NA,NA,2012,12,education</t>
  </si>
  <si>
    <t>97,34,male,2,own,moderate,moderate,2622,18,business</t>
  </si>
  <si>
    <t>98,36,male,2,own,little,moderate,2337,36,radio/TV</t>
  </si>
  <si>
    <t>99,36,male,3,rent,NA,moderate,7057,20,car</t>
  </si>
  <si>
    <t>100,41,male,1,rent,moderate,NA,1469,24,car</t>
  </si>
  <si>
    <t>101,24,male,2,rent,little,moderate,2323,36,radio/TV</t>
  </si>
  <si>
    <t>102,24,female,2,own,little,NA,932,6,radio/TV</t>
  </si>
  <si>
    <t>103,35,male,2,rent,little,moderate,1919,9,furniture/equipment</t>
  </si>
  <si>
    <t>104,26,male,2,rent,NA,NA,2445,12,car</t>
  </si>
  <si>
    <t>105,39,male,3,own,little,moderate,11938,24,vacation/others</t>
  </si>
  <si>
    <t>106,39,male,3,own,little,NA,6458,18,car</t>
  </si>
  <si>
    <t>107,32,male,2,own,little,moderate,6078,12,car</t>
  </si>
  <si>
    <t>108,30,female,2,own,NA,little,7721,24,furniture/equipment</t>
  </si>
  <si>
    <t>109,35,male,2,own,quite rich,moderate,1410,14,business</t>
  </si>
  <si>
    <t>110,31,male,2,own,moderate,moderate,1449,6,business</t>
  </si>
  <si>
    <t>111,23,female,2,rent,little,rich,392,15,education</t>
  </si>
  <si>
    <t>112,28,male,1,rent,little,moderate,6260,18,car</t>
  </si>
  <si>
    <t>113,25,female,2,own,little,NA,7855,36,car</t>
  </si>
  <si>
    <t>114,35,male,2,own,quite rich,little,1680,12,radio/TV</t>
  </si>
  <si>
    <t>115,47,male,2,own,NA,NA,3578,48,radio/TV</t>
  </si>
  <si>
    <t>116,30,female,3,own,NA,little,7174,42,radio/TV</t>
  </si>
  <si>
    <t>117,27,female,2,rent,NA,little,2132,10,furniture/equipment</t>
  </si>
  <si>
    <t>118,23,female,2,own,quite rich,little,4281,33,furniture/equipment</t>
  </si>
  <si>
    <t>119,36,male,3,own,quite rich,moderate,2366,12,car</t>
  </si>
  <si>
    <t>120,25,female,2,own,little,little,1835,21,radio/TV</t>
  </si>
  <si>
    <t>121,41,female,3,rent,little,NA,3868,24,car</t>
  </si>
  <si>
    <t>122,24,male,1,rent,little,NA,1768,12,furniture/equipment</t>
  </si>
  <si>
    <t>123,63,male,2,free,little,rich,781,10,car</t>
  </si>
  <si>
    <t>124,27,female,2,rent,NA,moderate,1924,18,furniture/equipment</t>
  </si>
  <si>
    <t>125,30,male,2,own,little,little,2121,12,car</t>
  </si>
  <si>
    <t>126,40,male,1,own,little,little,701,12,radio/TV</t>
  </si>
  <si>
    <t>127,30,male,2,own,little,moderate,639,12,repairs</t>
  </si>
  <si>
    <t>128,34,male,3,own,little,moderate,1860,12,car</t>
  </si>
  <si>
    <t>129,29,female,2,own,little,little,3499,12,car</t>
  </si>
  <si>
    <t>130,24,female,2,own,NA,moderate,8487,48,car</t>
  </si>
  <si>
    <t>131,29,male,2,own,little,little,6887,36,education</t>
  </si>
  <si>
    <t>132,27,male,1,own,little,NA,2708,15,furniture/equipment</t>
  </si>
  <si>
    <t>133,47,male,2,free,little,NA,1984,18,furniture/equipment</t>
  </si>
  <si>
    <t>134,21,female,2,own,moderate,NA,10144,60,radio/TV</t>
  </si>
  <si>
    <t>135,38,female,2,own,NA,NA,1240,12,radio/TV</t>
  </si>
  <si>
    <t>136,27,male,2,own,rich,NA,8613,27,car</t>
  </si>
  <si>
    <t>137,66,male,1,own,quite rich,moderate,766,12,radio/TV</t>
  </si>
  <si>
    <t>138,35,male,2,own,NA,moderate,2728,15,radio/TV</t>
  </si>
  <si>
    <t>139,44,female,1,rent,little,rich,1881,12,radio/TV</t>
  </si>
  <si>
    <t>140,27,male,0,own,rich,rich,709,6,car</t>
  </si>
  <si>
    <t>141,30,female,3,own,little,moderate,4795,36,radio/TV</t>
  </si>
  <si>
    <t>142,27,male,3,own,little,little,3416,27,radio/TV</t>
  </si>
  <si>
    <t>143,22,male,2,own,little,little,2462,18,furniture/equipment</t>
  </si>
  <si>
    <t>144,23,female,2,own,little,NA,2288,21,furniture/equipment</t>
  </si>
  <si>
    <t>145,30,male,2,own,moderate,moderate,3566,48,business</t>
  </si>
  <si>
    <t>146,39,female,2,own,little,little,860,6,car</t>
  </si>
  <si>
    <t>147,51,female,2,own,moderate,NA,682,12,car</t>
  </si>
  <si>
    <t>148,28,male,2,own,little,little,5371,36,furniture/equipment</t>
  </si>
  <si>
    <t>149,46,male,2,own,rich,NA,1582,18,radio/TV</t>
  </si>
  <si>
    <t>150,42,male,2,free,moderate,NA,1346,6,radio/TV</t>
  </si>
  <si>
    <t>151,38,male,2,own,little,NA,1924,10,radio/TV</t>
  </si>
  <si>
    <t>152,24,male,2,own,little,rich,5848,36,radio/TV</t>
  </si>
  <si>
    <t>153,29,female,2,rent,rich,moderate,7758,24,car</t>
  </si>
  <si>
    <t>154,36,male,3,rent,moderate,moderate,6967,24,business</t>
  </si>
  <si>
    <t>155,20,female,2,rent,little,little,1282,12,furniture/equipment</t>
  </si>
  <si>
    <t>156,48,male,2,own,moderate,little,1288,9,repairs</t>
  </si>
  <si>
    <t>157,45,male,1,own,little,little,339,12,education</t>
  </si>
  <si>
    <t>158,38,male,2,own,moderate,moderate,3512,24,car</t>
  </si>
  <si>
    <t>159,34,male,1,own,NA,NA,1898,6,radio/TV</t>
  </si>
  <si>
    <t>160,36,male,2,own,moderate,NA,2872,24,radio/TV</t>
  </si>
  <si>
    <t>161,30,female,2,own,little,NA,1055,18,car</t>
  </si>
  <si>
    <t>162,36,male,2,own,quite rich,NA,1262,15,domestic appliances</t>
  </si>
  <si>
    <t>163,70,male,3,free,little,moderate,7308,10,car</t>
  </si>
  <si>
    <t>164,36,male,2,own,quite rich,NA,909,36,car</t>
  </si>
  <si>
    <t>165,32,male,2,own,quite rich,NA,2978,6,furniture/equipment</t>
  </si>
  <si>
    <t>166,33,female,2,own,little,little,1131,18,furniture/equipment</t>
  </si>
  <si>
    <t>167,20,female,2,own,rich,moderate,1577,11,furniture/equipment</t>
  </si>
  <si>
    <t>168,25,female,2,rent,little,NA,3972,24,furniture/equipment</t>
  </si>
  <si>
    <t>169,31,male,2,own,little,moderate,1935,24,business</t>
  </si>
  <si>
    <t>170,33,male,2,rent,little,little,950,15,car</t>
  </si>
  <si>
    <t>171,26,female,2,own,little,NA,763,12,furniture/equipment</t>
  </si>
  <si>
    <t>172,34,female,3,own,little,moderate,2064,24,furniture/equipment</t>
  </si>
  <si>
    <t>173,33,male,2,own,little,moderate,1414,8,radio/TV</t>
  </si>
  <si>
    <t>174,26,male,2,own,little,little,3414,21,education</t>
  </si>
  <si>
    <t>175,53,female,3,own,NA,NA,7485,30,car</t>
  </si>
  <si>
    <t>176,42,male,2,own,little,little,2577,12,furniture/equipment</t>
  </si>
  <si>
    <t>177,52,male,2,own,quite rich,little,338,6,radio/TV</t>
  </si>
  <si>
    <t>178,31,male,3,rent,little,NA,1963,12,radio/TV</t>
  </si>
  <si>
    <t>179,65,male,2,own,little,little,571,21,car</t>
  </si>
  <si>
    <t>180,28,male,2,own,little,NA,9572,36,business</t>
  </si>
  <si>
    <t>181,30,male,3,own,little,moderate,4455,36,business</t>
  </si>
  <si>
    <t>182,40,male,1,own,NA,little,1647,21,car</t>
  </si>
  <si>
    <t>183,50,male,2,own,rich,NA,3777,24,furniture/equipment</t>
  </si>
  <si>
    <t>184,36,male,2,own,little,moderate,884,18,car</t>
  </si>
  <si>
    <t>185,31,male,2,own,little,NA,1360,15,radio/TV</t>
  </si>
  <si>
    <t>186,74,female,3,free,little,moderate,5129,9,car</t>
  </si>
  <si>
    <t>187,68,male,0,free,little,moderate,1175,16,car</t>
  </si>
  <si>
    <t>188,20,male,2,own,moderate,little,674,12,radio/TV</t>
  </si>
  <si>
    <t>189,33,female,2,own,little,moderate,3244,18,furniture/equipment</t>
  </si>
  <si>
    <t>190,54,male,3,own,rich,NA,4591,24,business</t>
  </si>
  <si>
    <t>191,34,male,1,free,moderate,moderate,3844,48,business</t>
  </si>
  <si>
    <t>192,36,male,2,own,little,moderate,3915,27,business</t>
  </si>
  <si>
    <t>193,29,male,2,rent,little,NA,2108,6,radio/TV</t>
  </si>
  <si>
    <t>194,21,male,2,rent,moderate,moderate,3031,45,radio/TV</t>
  </si>
  <si>
    <t>195,34,female,3,own,little,moderate,1501,9,education</t>
  </si>
  <si>
    <t>196,28,female,2,own,little,NA,1382,6,radio/TV</t>
  </si>
  <si>
    <t>197,27,female,2,rent,moderate,moderate,951,12,furniture/equipment</t>
  </si>
  <si>
    <t>198,36,male,2,free,NA,moderate,2760,24,car</t>
  </si>
  <si>
    <t>199,40,male,3,own,little,moderate,4297,18,furniture/equipment</t>
  </si>
  <si>
    <t>200,52,male,2,own,quite rich,NA,936,9,education</t>
  </si>
  <si>
    <t>201,27,male,1,own,little,little,1168,12,car</t>
  </si>
  <si>
    <t>202,26,male,2,own,little,NA,5117,27,business</t>
  </si>
  <si>
    <t>203,21,male,2,rent,little,little,902,12,education</t>
  </si>
  <si>
    <t>204,38,male,1,own,little,NA,1495,12,car</t>
  </si>
  <si>
    <t>205,38,male,3,free,little,little,10623,30,car</t>
  </si>
  <si>
    <t>206,43,male,2,own,little,NA,1935,12,furniture/equipment</t>
  </si>
  <si>
    <t>207,26,male,2,own,little,moderate,1424,12,domestic appliances</t>
  </si>
  <si>
    <t>208,21,male,1,own,little,little,6568,24,business</t>
  </si>
  <si>
    <t>209,55,male,2,own,rich,NA,1413,12,car</t>
  </si>
  <si>
    <t>210,33,male,2,own,NA,NA,3074,9,radio/TV</t>
  </si>
  <si>
    <t>211,45,female,1,own,NA,NA,3835,36,radio/TV</t>
  </si>
  <si>
    <t>212,50,male,2,own,little,little,5293,27,business</t>
  </si>
  <si>
    <t>213,66,male,3,own,little,rich,1908,30,business</t>
  </si>
  <si>
    <t>214,51,male,2,own,NA,NA,3342,36,radio/TV</t>
  </si>
  <si>
    <t>215,39,female,1,own,NA,moderate,932,6,education</t>
  </si>
  <si>
    <t>216,31,male,2,own,little,little,3104,18,business</t>
  </si>
  <si>
    <t>217,23,male,2,own,little,rich,3913,36,radio/TV</t>
  </si>
  <si>
    <t>218,24,male,1,rent,little,little,3021,24,furniture/equipment</t>
  </si>
  <si>
    <t>219,64,female,2,own,little,NA,1364,10,car</t>
  </si>
  <si>
    <t>220,26,male,1,own,little,moderate,625,12,radio/TV</t>
  </si>
  <si>
    <t>221,23,female,2,rent,NA,little,1200,12,education</t>
  </si>
  <si>
    <t>222,30,male,2,own,little,NA,707,12,radio/TV</t>
  </si>
  <si>
    <t>223,32,male,2,own,NA,NA,2978,24,business</t>
  </si>
  <si>
    <t>224,30,male,2,own,little,NA,4657,15,car</t>
  </si>
  <si>
    <t>225,27,male,2,own,little,NA,2613,36,repairs</t>
  </si>
  <si>
    <t>226,27,male,2,own,rich,moderate,10961,48,radio/TV</t>
  </si>
  <si>
    <t>227,53,male,3,free,little,little,7865,12,furniture/equipment</t>
  </si>
  <si>
    <t>228,22,male,2,own,little,NA,1478,9,radio/TV</t>
  </si>
  <si>
    <t>229,22,male,2,free,little,little,3149,24,furniture/equipment</t>
  </si>
  <si>
    <t>230,26,male,2,own,little,rich,4210,36,radio/TV</t>
  </si>
  <si>
    <t>231,51,male,1,free,quite rich,NA,2507,9,car</t>
  </si>
  <si>
    <t>232,35,male,2,own,moderate,NA,2141,12,radio/TV</t>
  </si>
  <si>
    <t>233,25,male,1,own,little,moderate,866,18,radio/TV</t>
  </si>
  <si>
    <t>234,42,male,1,own,little,NA,1544,4,radio/TV</t>
  </si>
  <si>
    <t>235,30,male,3,own,little,little,1823,24,radio/TV</t>
  </si>
  <si>
    <t>236,23,male,0,own,NA,moderate,14555,6,car</t>
  </si>
  <si>
    <t>237,61,male,1,rent,moderate,moderate,2767,21,business</t>
  </si>
  <si>
    <t>238,35,female,2,own,little,NA,1291,12,radio/TV</t>
  </si>
  <si>
    <t>239,39,male,2,own,little,little,2522,30,radio/TV</t>
  </si>
  <si>
    <t>240,29,female,2,own,NA,little,915,24,car</t>
  </si>
  <si>
    <t>241,51,male,2,own,little,NA,1595,6,radio/TV</t>
  </si>
  <si>
    <t>242,24,male,2,free,little,little,4605,48,car</t>
  </si>
  <si>
    <t>243,27,female,2,own,little,NA,1185,12,business</t>
  </si>
  <si>
    <t>244,35,female,1,own,quite rich,NA,3447,12,education</t>
  </si>
  <si>
    <t>245,25,male,2,own,little,NA,1258,24,business</t>
  </si>
  <si>
    <t>246,52,male,2,own,little,NA,717,12,radio/TV</t>
  </si>
  <si>
    <t>247,35,male,2,rent,moderate,NA,1204,6,car</t>
  </si>
  <si>
    <t>248,26,male,2,own,little,rich,1925,24,furniture/equipment</t>
  </si>
  <si>
    <t>249,22,female,2,rent,little,NA,433,18,radio/TV</t>
  </si>
  <si>
    <t>250,39,female,1,own,rich,little,666,6,car</t>
  </si>
  <si>
    <t>251,46,female,1,own,little,rich,2251,12,furniture/equipment</t>
  </si>
  <si>
    <t>252,24,female,2,own,little,moderate,2150,30,car</t>
  </si>
  <si>
    <t>253,35,male,2,own,moderate,NA,4151,24,furniture/equipment</t>
  </si>
  <si>
    <t>254,24,male,2,own,NA,moderate,2030,9,furniture/equipment</t>
  </si>
  <si>
    <t>255,27,male,1,own,NA,moderate,7418,60,radio/TV</t>
  </si>
  <si>
    <t>256,35,male,1,own,little,NA,2684,24,radio/TV</t>
  </si>
  <si>
    <t>257,29,male,2,free,little,little,2149,12,radio/TV</t>
  </si>
  <si>
    <t>258,23,female,2,own,moderate,NA,3812,15,car</t>
  </si>
  <si>
    <t>259,57,female,1,own,moderate,NA,1154,11,radio/TV</t>
  </si>
  <si>
    <t>260,27,male,2,own,little,little,1657,12,furniture/equipment</t>
  </si>
  <si>
    <t>261,55,female,2,own,little,little,1603,24,radio/TV</t>
  </si>
  <si>
    <t>262,36,male,3,free,little,little,5302,18,car</t>
  </si>
  <si>
    <t>263,57,female,1,free,little,NA,2748,12,education</t>
  </si>
  <si>
    <t>264,32,male,1,own,little,NA,1231,10,car</t>
  </si>
  <si>
    <t>265,37,male,2,own,little,moderate,802,15,radio/TV</t>
  </si>
  <si>
    <t>266,36,male,2,own,NA,NA,6304,36,business</t>
  </si>
  <si>
    <t>267,38,female,2,own,little,NA,1533,24,radio/TV</t>
  </si>
  <si>
    <t>268,45,male,3,own,little,little,8978,14,car</t>
  </si>
  <si>
    <t>269,25,male,2,own,NA,NA,999,24,radio/TV</t>
  </si>
  <si>
    <t>270,32,male,2,own,NA,NA,2662,18,car</t>
  </si>
  <si>
    <t>271,37,female,2,rent,quite rich,NA,1402,12,furniture/equipment</t>
  </si>
  <si>
    <t>272,36,male,3,free,NA,moderate,12169,48,car</t>
  </si>
  <si>
    <t>273,28,male,2,own,little,moderate,3060,48,radio/TV</t>
  </si>
  <si>
    <t>274,34,male,1,own,little,little,11998,30,repairs</t>
  </si>
  <si>
    <t>275,32,male,2,own,little,NA,2697,9,radio/TV</t>
  </si>
  <si>
    <t>276,26,female,2,own,little,NA,2404,18,radio/TV</t>
  </si>
  <si>
    <t>277,49,male,1,own,NA,little,1262,12,furniture/equipment</t>
  </si>
  <si>
    <t>278,32,female,2,own,little,NA,4611,6,furniture/equipment</t>
  </si>
  <si>
    <t>279,29,male,3,rent,moderate,NA,1901,24,radio/TV</t>
  </si>
  <si>
    <t>280,23,male,2,rent,rich,NA,3368,15,car</t>
  </si>
  <si>
    <t>281,50,male,2,own,little,NA,1574,12,furniture/equipment</t>
  </si>
  <si>
    <t>282,49,male,1,own,NA,rich,1445,18,radio/TV</t>
  </si>
  <si>
    <t>283,63,male,2,own,NA,NA,1520,15,furniture/equipment</t>
  </si>
  <si>
    <t>284,37,male,2,own,moderate,moderate,3878,24,car</t>
  </si>
  <si>
    <t>285,35,female,1,own,little,little,10722,47,car</t>
  </si>
  <si>
    <t>286,26,male,2,own,little,little,4788,48,car</t>
  </si>
  <si>
    <t>287,31,male,3,free,moderate,moderate,7582,48,vacation/others</t>
  </si>
  <si>
    <t>288,49,female,2,own,little,moderate,1092,12,radio/TV</t>
  </si>
  <si>
    <t>289,48,male,2,own,little,little,1024,24,radio/TV</t>
  </si>
  <si>
    <t>290,26,male,2,own,little,NA,1076,12,business</t>
  </si>
  <si>
    <t>291,28,male,3,rent,little,moderate,9398,36,car</t>
  </si>
  <si>
    <t>292,44,female,3,free,little,little,6419,24,car</t>
  </si>
  <si>
    <t>293,56,male,2,free,little,rich,4796,42,car</t>
  </si>
  <si>
    <t>294,46,male,3,own,NA,NA,7629,48,business</t>
  </si>
  <si>
    <t>295,26,female,2,own,little,moderate,9960,48,furniture/equipment</t>
  </si>
  <si>
    <t>296,20,female,2,rent,NA,NA,4675,12,car</t>
  </si>
  <si>
    <t>297,45,male,1,own,NA,NA,1287,10,car</t>
  </si>
  <si>
    <t>298,43,male,2,own,little,NA,2515,18,furniture/equipment</t>
  </si>
  <si>
    <t>299,32,male,2,own,rich,moderate,2745,21,furniture/equipment</t>
  </si>
  <si>
    <t>300,54,female,0,own,little,NA,672,6,car</t>
  </si>
  <si>
    <t>301,42,female,2,own,little,moderate,3804,36,radio/TV</t>
  </si>
  <si>
    <t>302,37,male,1,own,NA,rich,1344,24,car</t>
  </si>
  <si>
    <t>303,49,male,2,own,little,little,1038,10,car</t>
  </si>
  <si>
    <t>304,44,male,2,free,quite rich,NA,10127,48,car</t>
  </si>
  <si>
    <t>305,33,male,2,own,rich,NA,1543,6,furniture/equipment</t>
  </si>
  <si>
    <t>306,24,female,1,rent,NA,NA,4811,30,car</t>
  </si>
  <si>
    <t>307,33,male,1,own,moderate,little,727,12,radio/TV</t>
  </si>
  <si>
    <t>308,24,female,2,own,little,moderate,1237,8,furniture/equipment</t>
  </si>
  <si>
    <t>309,22,male,1,rent,little,moderate,276,9,car</t>
  </si>
  <si>
    <t>310,40,male,0,free,NA,moderate,5381,48,vacation/others</t>
  </si>
  <si>
    <t>311,25,male,2,own,moderate,NA,5511,24,furniture/equipment</t>
  </si>
  <si>
    <t>312,26,female,2,own,little,rich,3749,24,furniture/equipment</t>
  </si>
  <si>
    <t>313,25,male,1,own,little,moderate,685,12,car</t>
  </si>
  <si>
    <t>314,29,male,1,own,NA,rich,1494,4,car</t>
  </si>
  <si>
    <t>315,31,male,2,own,little,little,2746,36,furniture/equipment</t>
  </si>
  <si>
    <t>316,38,male,1,own,little,little,708,12,furniture/equipment</t>
  </si>
  <si>
    <t>317,48,female,1,own,NA,moderate,4351,24,furniture/equipment</t>
  </si>
  <si>
    <t>318,32,male,2,own,little,NA,701,12,education</t>
  </si>
  <si>
    <t>319,27,female,1,own,little,little,3643,15,furniture/equipment</t>
  </si>
  <si>
    <t>320,28,male,3,own,little,moderate,4249,30,car</t>
  </si>
  <si>
    <t>321,32,male,2,own,little,little,1938,24,radio/TV</t>
  </si>
  <si>
    <t>322,34,male,3,free,little,little,2910,24,car</t>
  </si>
  <si>
    <t>323,28,male,2,own,rich,little,2659,18,furniture/equipment</t>
  </si>
  <si>
    <t>324,36,female,2,own,little,NA,1028,18,car</t>
  </si>
  <si>
    <t>325,39,male,1,own,little,little,3398,8,car</t>
  </si>
  <si>
    <t>326,49,male,2,rent,NA,NA,5801,12,furniture/equipment</t>
  </si>
  <si>
    <t>327,34,female,2,own,rich,NA,1525,24,car</t>
  </si>
  <si>
    <t>328,31,male,2,own,little,rich,4473,36,radio/TV</t>
  </si>
  <si>
    <t>329,28,male,2,own,little,moderate,1068,6,radio/TV</t>
  </si>
  <si>
    <t>330,75,male,3,free,little,little,6615,24,car</t>
  </si>
  <si>
    <t>331,30,female,2,own,moderate,NA,1864,18,education</t>
  </si>
  <si>
    <t>332,24,female,3,own,moderate,moderate,7408,60,car</t>
  </si>
  <si>
    <t>333,24,female,1,rent,moderate,NA,11590,48,car</t>
  </si>
  <si>
    <t>334,23,male,2,rent,little,little,4110,24,furniture/equipment</t>
  </si>
  <si>
    <t>335,44,male,3,rent,little,little,3384,6,furniture/equipment</t>
  </si>
  <si>
    <t>336,23,female,1,own,little,moderate,2101,13,radio/TV</t>
  </si>
  <si>
    <t>337,24,female,2,rent,NA,little,1275,15,domestic appliances</t>
  </si>
  <si>
    <t>338,28,male,2,own,little,little,4169,24,furniture/equipment</t>
  </si>
  <si>
    <t>339,31,male,1,own,little,moderate,1521,10,furniture/equipment</t>
  </si>
  <si>
    <t>340,24,female,2,free,little,moderate,5743,24,education</t>
  </si>
  <si>
    <t>341,26,female,1,rent,little,little,3599,21,furniture/equipment</t>
  </si>
  <si>
    <t>342,25,male,2,rent,quite rich,moderate,3213,18,radio/TV</t>
  </si>
  <si>
    <t>343,33,male,3,own,little,moderate,4439,18,business</t>
  </si>
  <si>
    <t>344,37,male,1,own,little,rich,3949,10,car</t>
  </si>
  <si>
    <t>345,43,female,1,own,little,NA,1459,15,radio/TV</t>
  </si>
  <si>
    <t>346,23,male,2,own,little,moderate,882,13,radio/TV</t>
  </si>
  <si>
    <t>347,23,female,0,rent,quite rich,moderate,3758,24,radio/TV</t>
  </si>
  <si>
    <t>348,34,male,1,own,moderate,NA,1743,6,business</t>
  </si>
  <si>
    <t>349,32,male,2,free,rich,moderate,1136,9,education</t>
  </si>
  <si>
    <t>350,23,female,2,rent,little,NA,1236,9,domestic appliances</t>
  </si>
  <si>
    <t>351,29,female,2,own,little,moderate,959,9,furniture/equipment</t>
  </si>
  <si>
    <t>352,38,male,3,own,NA,NA,3229,18,car</t>
  </si>
  <si>
    <t>353,28,male,2,rent,little,little,6199,12,radio/TV</t>
  </si>
  <si>
    <t>354,46,male,2,free,quite rich,NA,727,10,education</t>
  </si>
  <si>
    <t>355,23,male,1,own,little,moderate,1246,24,car</t>
  </si>
  <si>
    <t>356,49,male,2,own,NA,NA,2331,12,radio/TV</t>
  </si>
  <si>
    <t>357,26,male,3,own,little,NA,4463,36,radio/TV</t>
  </si>
  <si>
    <t>358,28,male,2,own,little,NA,776,12,radio/TV</t>
  </si>
  <si>
    <t>359,23,female,2,rent,little,little,2406,30,furniture/equipment</t>
  </si>
  <si>
    <t>360,61,male,2,free,NA,moderate,1239,18,education</t>
  </si>
  <si>
    <t>361,37,male,3,own,NA,rich,3399,12,radio/TV</t>
  </si>
  <si>
    <t>362,36,female,2,own,little,rich,2247,12,car</t>
  </si>
  <si>
    <t>363,21,male,2,rent,little,NA,1766,6,furniture/equipment</t>
  </si>
  <si>
    <t>364,25,male,0,own,little,little,2473,18,furniture/equipment</t>
  </si>
  <si>
    <t>365,36,male,2,own,little,NA,1542,12,business</t>
  </si>
  <si>
    <t>366,27,male,2,own,little,NA,3850,18,car</t>
  </si>
  <si>
    <t>367,22,female,2,rent,little,little,3650,18,furniture/equipment</t>
  </si>
  <si>
    <t>368,42,male,2,own,little,little,3446,36,furniture/equipment</t>
  </si>
  <si>
    <t>369,40,female,2,rent,little,moderate,3001,18,furniture/equipment</t>
  </si>
  <si>
    <t>370,36,male,2,own,NA,NA,3079,36,car</t>
  </si>
  <si>
    <t>371,33,male,2,own,little,NA,6070,18,radio/TV</t>
  </si>
  <si>
    <t>372,23,female,2,rent,little,NA,2146,10,furniture/equipment</t>
  </si>
  <si>
    <t>373,63,male,3,free,NA,NA,13756,60,car</t>
  </si>
  <si>
    <t>374,60,female,3,free,moderate,moderate,14782,60,vacation/others</t>
  </si>
  <si>
    <t>375,37,female,2,rent,little,little,7685,48,business</t>
  </si>
  <si>
    <t>376,34,male,2,own,little,NA,2320,18,radio/TV</t>
  </si>
  <si>
    <t>377,36,male,2,free,NA,NA,846,7,radio/TV</t>
  </si>
  <si>
    <t>378,57,male,3,free,little,moderate,14318,36,car</t>
  </si>
  <si>
    <t>379,52,female,1,own,moderate,NA,362,6,car</t>
  </si>
  <si>
    <t>380,39,male,2,own,NA,little,2212,20,furniture/equipment</t>
  </si>
  <si>
    <t>381,38,female,3,free,little,moderate,12976,18,car</t>
  </si>
  <si>
    <t>382,25,female,2,rent,NA,NA,1283,22,car</t>
  </si>
  <si>
    <t>383,26,male,2,own,little,rich,1330,12,car</t>
  </si>
  <si>
    <t>384,26,male,1,own,moderate,NA,4272,30,business</t>
  </si>
  <si>
    <t>385,25,female,2,own,little,NA,2238,18,radio/TV</t>
  </si>
  <si>
    <t>386,21,female,2,rent,NA,NA,1126,18,radio/TV</t>
  </si>
  <si>
    <t>387,40,male,3,own,little,moderate,7374,18,furniture/equipment</t>
  </si>
  <si>
    <t>388,27,male,2,own,quite rich,moderate,2326,15,business</t>
  </si>
  <si>
    <t>389,27,female,2,own,little,NA,1449,9,business</t>
  </si>
  <si>
    <t>390,30,male,3,own,little,NA,1820,18,car</t>
  </si>
  <si>
    <t>391,19,female,1,rent,rich,moderate,983,12,furniture/equipment</t>
  </si>
  <si>
    <t>392,39,male,3,free,little,little,3249,36,car</t>
  </si>
  <si>
    <t>393,31,female,2,own,little,little,1957,6,radio/TV</t>
  </si>
  <si>
    <t>394,31,male,3,own,little,NA,2406,9,furniture/equipment</t>
  </si>
  <si>
    <t>395,32,male,2,rent,moderate,moderate,11760,39,education</t>
  </si>
  <si>
    <t>396,55,female,3,free,little,little,2578,12,furniture/equipment</t>
  </si>
  <si>
    <t>397,46,male,2,own,little,little,2348,36,furniture/equipment</t>
  </si>
  <si>
    <t>398,46,male,2,rent,little,moderate,1223,12,car</t>
  </si>
  <si>
    <t>399,43,female,1,own,rich,NA,1516,24,radio/TV</t>
  </si>
  <si>
    <t>400,39,male,2,own,little,NA,1473,18,radio/TV</t>
  </si>
  <si>
    <t>401,28,male,2,own,NA,moderate,1887,18,business</t>
  </si>
  <si>
    <t>402,27,male,2,own,little,NA,8648,24,business</t>
  </si>
  <si>
    <t>403,27,male,1,own,little,NA,802,14,car</t>
  </si>
  <si>
    <t>404,43,male,2,own,NA,moderate,2899,18,car</t>
  </si>
  <si>
    <t>405,22,male,2,own,little,moderate,2039,24,radio/TV</t>
  </si>
  <si>
    <t>406,43,male,2,own,NA,NA,2197,24,car</t>
  </si>
  <si>
    <t>407,27,male,2,own,little,little,1053,15,radio/TV</t>
  </si>
  <si>
    <t>408,26,male,3,own,quite rich,NA,3235,24,radio/TV</t>
  </si>
  <si>
    <t>409,28,male,2,own,quite rich,rich,939,12,car</t>
  </si>
  <si>
    <t>410,20,female,2,own,little,moderate,1967,24,radio/TV</t>
  </si>
  <si>
    <t>411,35,male,3,own,little,NA,7253,33,car</t>
  </si>
  <si>
    <t>412,42,male,3,own,little,NA,2292,12,business</t>
  </si>
  <si>
    <t>413,40,male,1,rent,quite rich,NA,1597,10,car</t>
  </si>
  <si>
    <t>414,35,female,2,own,NA,little,1381,24,car</t>
  </si>
  <si>
    <t>415,35,male,2,own,little,NA,5842,36,car</t>
  </si>
  <si>
    <t>416,33,male,1,own,little,little,2579,12,car</t>
  </si>
  <si>
    <t>417,23,female,2,rent,NA,little,8471,18,education</t>
  </si>
  <si>
    <t>418,31,female,3,own,quite rich,NA,2782,21,car</t>
  </si>
  <si>
    <t>419,33,female,2,own,NA,moderate,1042,18,car</t>
  </si>
  <si>
    <t>420,20,female,2,rent,rich,NA,3186,15,car</t>
  </si>
  <si>
    <t>421,30,male,2,own,NA,moderate,2028,12,car</t>
  </si>
  <si>
    <t>422,47,male,1,own,little,moderate,958,12,car</t>
  </si>
  <si>
    <t>423,34,male,3,own,moderate,NA,1591,21,furniture/equipment</t>
  </si>
  <si>
    <t>424,25,female,2,own,NA,moderate,2762,12,furniture/equipment</t>
  </si>
  <si>
    <t>425,21,male,2,rent,little,moderate,2779,18,car</t>
  </si>
  <si>
    <t>426,29,male,2,own,little,NA,2743,28,radio/TV</t>
  </si>
  <si>
    <t>427,46,male,2,own,rich,NA,1149,18,radio/TV</t>
  </si>
  <si>
    <t>428,20,male,2,own,little,NA,1313,9,furniture/equipment</t>
  </si>
  <si>
    <t>429,55,female,0,free,little,little,1190,18,repairs</t>
  </si>
  <si>
    <t>430,74,male,1,own,little,NA,3448,5,business</t>
  </si>
  <si>
    <t>431,29,male,3,own,little,moderate,11328,24,vacation/others</t>
  </si>
  <si>
    <t>432,36,male,3,free,little,little,1872,6,furniture/equipment</t>
  </si>
  <si>
    <t>433,33,male,2,own,little,NA,2058,24,repairs</t>
  </si>
  <si>
    <t>434,25,male,2,own,little,little,2136,9,furniture/equipment</t>
  </si>
  <si>
    <t>435,25,male,2,own,NA,moderate,1484,12,radio/TV</t>
  </si>
  <si>
    <t>436,23,male,1,rent,quite rich,NA,660,6,repairs</t>
  </si>
  <si>
    <t>437,37,female,2,own,rich,NA,1287,24,car</t>
  </si>
  <si>
    <t>438,65,male,0,own,little,little,3394,42,repairs</t>
  </si>
  <si>
    <t>439,26,female,0,own,little,rich,609,12,business</t>
  </si>
  <si>
    <t>440,39,male,3,own,little,NA,1884,12,car</t>
  </si>
  <si>
    <t>441,30,female,2,own,little,little,1620,12,furniture/equipment</t>
  </si>
  <si>
    <t>442,29,male,2,own,little,moderate,2629,20,vacation/others</t>
  </si>
  <si>
    <t>443,41,male,1,own,little,NA,719,12,education</t>
  </si>
  <si>
    <t>444,30,female,3,own,little,moderate,5096,48,furniture/equipment</t>
  </si>
  <si>
    <t>445,41,female,1,rent,NA,NA,1244,9,education</t>
  </si>
  <si>
    <t>446,34,female,2,own,little,little,1842,36,car</t>
  </si>
  <si>
    <t>447,35,male,2,own,little,moderate,2576,7,radio/TV</t>
  </si>
  <si>
    <t>448,55,female,3,own,NA,rich,1424,12,furniture/equipment</t>
  </si>
  <si>
    <t>449,61,male,2,own,rich,moderate,1512,15,repairs</t>
  </si>
  <si>
    <t>450,30,male,3,own,NA,NA,11054,36,car</t>
  </si>
  <si>
    <t>451,29,female,2,own,little,NA,518,6,radio/TV</t>
  </si>
  <si>
    <t>452,34,male,2,own,little,NA,2759,12,furniture/equipment</t>
  </si>
  <si>
    <t>453,35,male,3,own,little,NA,2670,24,car</t>
  </si>
  <si>
    <t>454,31,male,2,own,little,little,4817,24,car</t>
  </si>
  <si>
    <t>455,29,female,3,own,little,NA,2679,24,car</t>
  </si>
  <si>
    <t>456,36,male,2,rent,little,little,3905,11,car</t>
  </si>
  <si>
    <t>457,35,male,2,free,little,little,3386,12,car</t>
  </si>
  <si>
    <t>458,27,female,2,own,little,little,343,6,domestic appliances</t>
  </si>
  <si>
    <t>459,32,male,2,own,little,NA,4594,18,radio/TV</t>
  </si>
  <si>
    <t>460,37,male,2,own,little,little,3620,36,furniture/equipment</t>
  </si>
  <si>
    <t>461,36,male,2,own,little,little,1721,15,car</t>
  </si>
  <si>
    <t>462,34,female,3,rent,little,moderate,3017,12,furniture/equipment</t>
  </si>
  <si>
    <t>463,38,male,2,own,NA,moderate,754,12,education</t>
  </si>
  <si>
    <t>464,34,male,2,own,little,NA,1950,18,business</t>
  </si>
  <si>
    <t>465,63,male,2,own,little,little,2924,24,car</t>
  </si>
  <si>
    <t>466,29,female,1,rent,little,little,1659,24,radio/TV</t>
  </si>
  <si>
    <t>467,32,male,2,own,NA,NA,7238,48,radio/TV</t>
  </si>
  <si>
    <t>468,26,female,2,own,little,NA,2764,33,business</t>
  </si>
  <si>
    <t>469,35,male,1,own,little,NA,4679,24,car</t>
  </si>
  <si>
    <t>470,22,male,2,rent,moderate,moderate,3092,24,radio/TV</t>
  </si>
  <si>
    <t>471,23,female,2,own,little,little,448,6,education</t>
  </si>
  <si>
    <t>472,28,male,1,own,little,little,654,9,car</t>
  </si>
  <si>
    <t>473,36,male,3,own,NA,NA,1238,6,education</t>
  </si>
  <si>
    <t>474,33,male,2,own,little,moderate,1245,18,radio/TV</t>
  </si>
  <si>
    <t>475,26,female,2,rent,little,little,3114,18,furniture/equipment</t>
  </si>
  <si>
    <t>476,24,male,2,own,quite rich,NA,2569,39,car</t>
  </si>
  <si>
    <t>477,25,male,2,own,little,rich,5152,24,radio/TV</t>
  </si>
  <si>
    <t>478,39,male,1,own,moderate,moderate,1037,12,business</t>
  </si>
  <si>
    <t>479,44,male,2,own,little,little,1478,15,furniture/equipment</t>
  </si>
  <si>
    <t>480,23,female,1,own,little,moderate,3573,12,radio/TV</t>
  </si>
  <si>
    <t>481,26,male,2,own,little,moderate,1201,24,car</t>
  </si>
  <si>
    <t>482,57,female,2,rent,rich,little,3622,30,furniture/equipment</t>
  </si>
  <si>
    <t>483,30,female,2,own,rich,NA,960,15,furniture/equipment</t>
  </si>
  <si>
    <t>484,44,male,2,own,quite rich,NA,1163,12,car</t>
  </si>
  <si>
    <t>485,47,male,3,own,little,moderate,1209,6,car</t>
  </si>
  <si>
    <t>486,52,male,2,own,little,NA,3077,12,radio/TV</t>
  </si>
  <si>
    <t>487,62,female,2,free,little,NA,3757,24,car</t>
  </si>
  <si>
    <t>488,35,male,1,rent,moderate,NA,1418,10,car</t>
  </si>
  <si>
    <t>489,26,male,2,rent,little,NA,3518,6,car</t>
  </si>
  <si>
    <t>490,26,male,2,own,little,NA,1934,12,radio/TV</t>
  </si>
  <si>
    <t>491,42,female,3,free,little,moderate,8318,27,business</t>
  </si>
  <si>
    <t>492,27,female,2,own,moderate,NA,1237,6,radio/TV</t>
  </si>
  <si>
    <t>493,38,male,2,own,NA,moderate,368,6,radio/TV</t>
  </si>
  <si>
    <t>494,39,male,1,rent,little,little,2122,12,car</t>
  </si>
  <si>
    <t>495,20,male,2,own,NA,little,2996,24,furniture/equipment</t>
  </si>
  <si>
    <t>496,29,male,3,rent,moderate,moderate,9034,36,furniture/equipment</t>
  </si>
  <si>
    <t>497,40,male,2,own,little,NA,1585,24,furniture/equipment</t>
  </si>
  <si>
    <t>498,32,male,1,own,little,moderate,1301,18,radio/TV</t>
  </si>
  <si>
    <t>499,28,male,2,own,moderate,rich,1323,6,car</t>
  </si>
  <si>
    <t>500,27,female,2,own,little,little,3123,24,car</t>
  </si>
  <si>
    <t>501,42,male,2,free,little,little,5493,36,car</t>
  </si>
  <si>
    <t>502,49,male,2,own,moderate,rich,1126,9,radio/TV</t>
  </si>
  <si>
    <t>503,38,male,2,own,moderate,moderate,1216,24,radio/TV</t>
  </si>
  <si>
    <t>504,24,female,2,rent,little,little,1207,24,car</t>
  </si>
  <si>
    <t>505,27,male,1,own,NA,NA,1309,10,car</t>
  </si>
  <si>
    <t>506,36,male,2,own,quite rich,rich,2360,15,car</t>
  </si>
  <si>
    <t>507,34,male,3,own,moderate,moderate,6850,15,car</t>
  </si>
  <si>
    <t>508,28,male,2,own,little,NA,1413,24,radio/TV</t>
  </si>
  <si>
    <t>509,45,male,3,own,moderate,NA,8588,39,car</t>
  </si>
  <si>
    <t>510,26,male,2,own,little,little,759,12,car</t>
  </si>
  <si>
    <t>511,32,male,3,free,little,NA,4686,36,car</t>
  </si>
  <si>
    <t>512,26,male,2,rent,little,rich,2687,15,business</t>
  </si>
  <si>
    <t>513,20,male,2,rent,little,moderate,585,12,radio/TV</t>
  </si>
  <si>
    <t>514,54,male,2,own,NA,NA,2255,24,car</t>
  </si>
  <si>
    <t>515,37,female,2,own,little,little,609,6,car</t>
  </si>
  <si>
    <t>516,40,male,1,own,little,little,1361,6,car</t>
  </si>
  <si>
    <t>517,23,female,2,rent,little,NA,7127,36,furniture/equipment</t>
  </si>
  <si>
    <t>518,43,male,2,own,moderate,little,1203,6,car</t>
  </si>
  <si>
    <t>519,36,male,2,free,NA,NA,700,6,radio/TV</t>
  </si>
  <si>
    <t>520,44,male,2,free,little,NA,5507,24,repairs</t>
  </si>
  <si>
    <t>521,24,female,2,own,little,little,3190,18,radio/TV</t>
  </si>
  <si>
    <t>522,53,male,2,free,little,little,7119,48,furniture/equipment</t>
  </si>
  <si>
    <t>523,23,female,2,own,moderate,NA,3488,24,car</t>
  </si>
  <si>
    <t>524,26,female,1,own,little,moderate,1113,18,radio/TV</t>
  </si>
  <si>
    <t>525,30,male,2,own,little,moderate,7966,26,car</t>
  </si>
  <si>
    <t>526,31,female,2,own,moderate,NA,1532,15,education</t>
  </si>
  <si>
    <t>527,42,male,1,own,little,NA,1503,4,radio/TV</t>
  </si>
  <si>
    <t>528,31,male,2,rent,little,little,2302,36,radio/TV</t>
  </si>
  <si>
    <t>529,41,male,1,own,little,little,662,6,car</t>
  </si>
  <si>
    <t>530,32,male,2,own,little,moderate,2273,36,education</t>
  </si>
  <si>
    <t>531,28,female,2,rent,moderate,moderate,2631,15,car</t>
  </si>
  <si>
    <t>532,41,male,2,rent,little,NA,1503,12,car</t>
  </si>
  <si>
    <t>533,26,male,2,own,moderate,NA,1311,24,radio/TV</t>
  </si>
  <si>
    <t>534,25,male,2,own,NA,NA,3105,24,radio/TV</t>
  </si>
  <si>
    <t>535,33,male,2,rent,little,rich,2319,21,education</t>
  </si>
  <si>
    <t>536,75,female,3,own,NA,little,1374,6,car</t>
  </si>
  <si>
    <t>537,37,female,2,own,little,moderate,3612,18,furniture/equipment</t>
  </si>
  <si>
    <t>538,42,male,3,free,little,little,7763,48,car</t>
  </si>
  <si>
    <t>539,45,female,1,own,little,rich,3049,18,furniture/equipment</t>
  </si>
  <si>
    <t>540,23,male,2,rent,little,moderate,1534,12,radio/TV</t>
  </si>
  <si>
    <t>541,60,male,2,free,little,NA,2032,24,car</t>
  </si>
  <si>
    <t>542,31,male,2,own,NA,little,6350,30,furniture/equipment</t>
  </si>
  <si>
    <t>543,34,male,1,own,little,rich,2864,18,furniture/equipment</t>
  </si>
  <si>
    <t>544,61,male,1,own,little,NA,1255,12,car</t>
  </si>
  <si>
    <t>545,43,male,2,free,little,little,1333,24,car</t>
  </si>
  <si>
    <t>546,37,female,2,own,little,NA,2022,24,car</t>
  </si>
  <si>
    <t>547,32,male,2,own,little,NA,1552,24,radio/TV</t>
  </si>
  <si>
    <t>548,24,female,1,own,little,little,626,12,radio/TV</t>
  </si>
  <si>
    <t>549,35,male,2,free,NA,NA,8858,48,car</t>
  </si>
  <si>
    <t>550,23,female,2,own,NA,NA,996,12,repairs</t>
  </si>
  <si>
    <t>551,45,male,1,own,quite rich,NA,1750,6,radio/TV</t>
  </si>
  <si>
    <t>552,34,male,2,own,little,little,6999,48,radio/TV</t>
  </si>
  <si>
    <t>553,27,male,2,own,moderate,moderate,1995,12,car</t>
  </si>
  <si>
    <t>554,67,female,3,own,little,moderate,1199,9,education</t>
  </si>
  <si>
    <t>555,22,male,2,own,little,moderate,1331,12,radio/TV</t>
  </si>
  <si>
    <t>556,28,female,2,own,moderate,moderate,2278,18,car</t>
  </si>
  <si>
    <t>557,29,female,2,own,NA,NA,5003,21,car</t>
  </si>
  <si>
    <t>558,27,male,2,own,little,little,3552,24,furniture/equipment</t>
  </si>
  <si>
    <t>559,31,male,1,own,little,moderate,1928,18,furniture/equipment</t>
  </si>
  <si>
    <t>560,49,male,2,free,NA,little,2964,24,car</t>
  </si>
  <si>
    <t>561,24,male,1,rent,little,little,1546,24,radio/TV</t>
  </si>
  <si>
    <t>562,29,female,2,own,little,rich,683,6,radio/TV</t>
  </si>
  <si>
    <t>563,37,male,2,free,NA,moderate,12389,36,car</t>
  </si>
  <si>
    <t>564,37,male,3,own,NA,moderate,4712,24,business</t>
  </si>
  <si>
    <t>565,23,female,2,rent,moderate,moderate,1553,24,radio/TV</t>
  </si>
  <si>
    <t>566,36,male,2,own,little,little,1372,12,car</t>
  </si>
  <si>
    <t>567,34,male,2,own,rich,NA,2578,24,radio/TV</t>
  </si>
  <si>
    <t>568,41,male,2,own,NA,moderate,3979,48,radio/TV</t>
  </si>
  <si>
    <t>569,31,female,2,own,little,little,6758,48,radio/TV</t>
  </si>
  <si>
    <t>570,23,female,1,rent,little,little,3234,24,furniture/equipment</t>
  </si>
  <si>
    <t>571,38,male,2,own,little,NA,5954,30,radio/TV</t>
  </si>
  <si>
    <t>572,26,female,3,rent,NA,NA,5433,24,car</t>
  </si>
  <si>
    <t>573,22,female,1,own,little,little,806,15,business</t>
  </si>
  <si>
    <t>574,27,male,1,own,little,moderate,1082,9,radio/TV</t>
  </si>
  <si>
    <t>575,24,female,2,own,little,NA,2788,15,furniture/equipment</t>
  </si>
  <si>
    <t>576,27,female,2,own,little,moderate,2930,12,radio/TV</t>
  </si>
  <si>
    <t>577,33,female,2,own,NA,NA,1927,24,education</t>
  </si>
  <si>
    <t>578,27,male,2,own,little,moderate,2820,36,car</t>
  </si>
  <si>
    <t>579,27,male,1,own,little,NA,937,24,education</t>
  </si>
  <si>
    <t>580,30,male,2,own,little,moderate,1056,18,car</t>
  </si>
  <si>
    <t>581,49,male,1,own,little,moderate,3124,12,car</t>
  </si>
  <si>
    <t>582,26,female,2,rent,little,NA,1388,9,furniture/equipment</t>
  </si>
  <si>
    <t>583,33,male,1,rent,little,moderate,2384,36,repairs</t>
  </si>
  <si>
    <t>584,52,female,3,free,NA,NA,2133,12,car</t>
  </si>
  <si>
    <t>585,20,female,2,rent,little,little,2039,18,furniture/equipment</t>
  </si>
  <si>
    <t>586,36,male,2,rent,little,little,2799,9,car</t>
  </si>
  <si>
    <t>587,21,male,1,own,little,little,1289,12,furniture/equipment</t>
  </si>
  <si>
    <t>588,47,male,1,own,little,little,1217,18,domestic appliances</t>
  </si>
  <si>
    <t>589,60,male,2,own,little,little,2246,12,furniture/equipment</t>
  </si>
  <si>
    <t>590,58,female,1,own,little,little,385,12,radio/TV</t>
  </si>
  <si>
    <t>591,42,female,2,rent,NA,moderate,1965,24,car</t>
  </si>
  <si>
    <t>592,36,female,1,own,rich,NA,1572,21,business</t>
  </si>
  <si>
    <t>593,20,female,1,rent,little,moderate,2718,24,car</t>
  </si>
  <si>
    <t>594,40,male,3,own,NA,little,1358,24,vacation/others</t>
  </si>
  <si>
    <t>595,32,female,1,own,moderate,moderate,931,6,car</t>
  </si>
  <si>
    <t>596,23,female,2,rent,little,little,1442,24,car</t>
  </si>
  <si>
    <t>597,36,male,1,own,little,moderate,4241,24,business</t>
  </si>
  <si>
    <t>598,31,male,2,own,little,NA,2775,18,car</t>
  </si>
  <si>
    <t>599,32,male,2,free,little,NA,3863,24,business</t>
  </si>
  <si>
    <t>600,45,female,2,own,little,moderate,2329,7,radio/TV</t>
  </si>
  <si>
    <t>601,30,female,2,own,little,moderate,918,9,furniture/equipment</t>
  </si>
  <si>
    <t>602,34,female,1,free,little,moderate,1837,24,education</t>
  </si>
  <si>
    <t>603,28,female,3,own,little,NA,3349,36,furniture/equipment</t>
  </si>
  <si>
    <t>604,23,female,2,own,little,rich,1275,10,furniture/equipment</t>
  </si>
  <si>
    <t>605,22,male,2,own,quite rich,little,2828,24,furniture/equipment</t>
  </si>
  <si>
    <t>606,74,male,3,own,little,NA,4526,24,business</t>
  </si>
  <si>
    <t>607,50,female,2,free,moderate,moderate,2671,36,radio/TV</t>
  </si>
  <si>
    <t>608,33,male,2,own,little,NA,2051,18,radio/TV</t>
  </si>
  <si>
    <t>609,45,male,2,free,NA,NA,1300,15,car</t>
  </si>
  <si>
    <t>610,22,female,2,own,moderate,little,741,12,domestic appliances</t>
  </si>
  <si>
    <t>611,48,female,1,free,moderate,rich,1240,10,car</t>
  </si>
  <si>
    <t>612,29,female,2,own,rich,little,3357,21,radio/TV</t>
  </si>
  <si>
    <t>613,22,female,2,rent,little,little,3632,24,car</t>
  </si>
  <si>
    <t>614,22,female,2,own,little,NA,1808,18,furniture/equipment</t>
  </si>
  <si>
    <t>615,48,male,3,own,NA,moderate,12204,48,business</t>
  </si>
  <si>
    <t>616,27,male,3,free,NA,moderate,9157,60,radio/TV</t>
  </si>
  <si>
    <t>617,37,male,2,rent,little,little,3676,6,car</t>
  </si>
  <si>
    <t>618,21,female,2,rent,moderate,moderate,3441,30,furniture/equipment</t>
  </si>
  <si>
    <t>619,49,male,1,own,little,NA,640,12,car</t>
  </si>
  <si>
    <t>620,27,male,2,own,little,moderate,3652,21,business</t>
  </si>
  <si>
    <t>621,32,male,2,own,little,NA,1530,18,car</t>
  </si>
  <si>
    <t>622,38,male,2,own,NA,NA,3914,48,business</t>
  </si>
  <si>
    <t>623,22,female,2,rent,little,little,1858,12,furniture/equipment</t>
  </si>
  <si>
    <t>624,65,male,2,free,little,little,2600,18,radio/TV</t>
  </si>
  <si>
    <t>625,35,male,2,own,NA,NA,1979,15,radio/TV</t>
  </si>
  <si>
    <t>626,41,male,2,own,little,rich,2116,6,furniture/equipment</t>
  </si>
  <si>
    <t>627,29,male,2,own,moderate,moderate,1437,9,car</t>
  </si>
  <si>
    <t>628,36,male,2,own,quite rich,NA,4042,42,furniture/equipment</t>
  </si>
  <si>
    <t>629,64,male,1,own,NA,NA,3832,9,education</t>
  </si>
  <si>
    <t>630,28,female,2,own,little,little,3660,24,radio/TV</t>
  </si>
  <si>
    <t>631,44,male,2,own,little,little,1553,18,furniture/equipment</t>
  </si>
  <si>
    <t>632,23,male,2,own,NA,moderate,1444,15,radio/TV</t>
  </si>
  <si>
    <t>633,19,female,2,rent,little,NA,1980,9,furniture/equipment</t>
  </si>
  <si>
    <t>634,25,female,1,own,little,moderate,1355,24,car</t>
  </si>
  <si>
    <t>635,47,male,2,own,little,NA,1393,12,education</t>
  </si>
  <si>
    <t>636,28,female,2,own,quite rich,NA,1376,24,radio/TV</t>
  </si>
  <si>
    <t>637,21,male,2,own,little,NA,15653,60,radio/TV</t>
  </si>
  <si>
    <t>638,34,female,2,own,little,NA,1493,12,radio/TV</t>
  </si>
  <si>
    <t>639,26,male,2,own,little,little,4370,42,radio/TV</t>
  </si>
  <si>
    <t>640,27,female,0,own,little,little,750,18,education</t>
  </si>
  <si>
    <t>641,38,male,1,own,little,moderate,1308,15,repairs</t>
  </si>
  <si>
    <t>642,40,male,3,own,moderate,NA,4623,15,education</t>
  </si>
  <si>
    <t>643,33,male,2,own,little,NA,1851,24,radio/TV</t>
  </si>
  <si>
    <t>644,32,male,3,own,little,little,1880,18,radio/TV</t>
  </si>
  <si>
    <t>645,27,male,2,rent,NA,NA,7980,36,business</t>
  </si>
  <si>
    <t>646,32,male,2,own,little,little,4583,30,furniture/equipment</t>
  </si>
  <si>
    <t>647,26,female,2,own,quite rich,NA,1386,12,car</t>
  </si>
  <si>
    <t>648,38,male,2,free,little,rich,947,24,car</t>
  </si>
  <si>
    <t>649,40,male,1,rent,little,little,684,12,education</t>
  </si>
  <si>
    <t>650,50,male,3,free,little,little,7476,48,education</t>
  </si>
  <si>
    <t>651,37,male,1,own,little,moderate,1922,12,furniture/equipment</t>
  </si>
  <si>
    <t>652,45,male,2,own,little,little,2303,24,car</t>
  </si>
  <si>
    <t>653,42,male,3,own,moderate,moderate,8086,36,car</t>
  </si>
  <si>
    <t>654,35,male,2,own,little,NA,2346,24,car</t>
  </si>
  <si>
    <t>655,22,male,2,free,little,little,3973,14,car</t>
  </si>
  <si>
    <t>656,41,male,1,own,little,moderate,888,12,car</t>
  </si>
  <si>
    <t>657,37,male,2,own,NA,NA,10222,48,radio/TV</t>
  </si>
  <si>
    <t>658,28,female,2,own,little,moderate,4221,30,business</t>
  </si>
  <si>
    <t>659,41,male,2,own,little,moderate,6361,18,furniture/equipment</t>
  </si>
  <si>
    <t>660,23,male,2,rent,little,rich,1297,12,radio/TV</t>
  </si>
  <si>
    <t>661,23,male,2,own,NA,little,900,12,car</t>
  </si>
  <si>
    <t>662,50,male,2,own,little,NA,2241,21,furniture/equipment</t>
  </si>
  <si>
    <t>663,35,male,3,own,little,moderate,1050,6,furniture/equipment</t>
  </si>
  <si>
    <t>664,50,female,1,own,little,rich,1047,6,education</t>
  </si>
  <si>
    <t>665,27,male,3,own,little,NA,6314,24,vacation/others</t>
  </si>
  <si>
    <t>666,34,male,2,own,rich,moderate,3496,30,furniture/equipment</t>
  </si>
  <si>
    <t>667,27,female,2,own,little,NA,3609,48,business</t>
  </si>
  <si>
    <t>668,43,male,2,rent,little,little,4843,12,car</t>
  </si>
  <si>
    <t>669,47,male,2,own,little,rich,3017,30,radio/TV</t>
  </si>
  <si>
    <t>670,27,male,1,own,moderate,NA,4139,24,business</t>
  </si>
  <si>
    <t>671,31,male,2,own,moderate,NA,5742,36,business</t>
  </si>
  <si>
    <t>672,42,male,3,own,little,NA,10366,60,car</t>
  </si>
  <si>
    <t>673,24,male,2,own,quite rich,NA,2080,6,car</t>
  </si>
  <si>
    <t>674,41,male,1,own,quite rich,NA,2580,21,business</t>
  </si>
  <si>
    <t>675,26,female,3,rent,little,NA,4530,30,radio/TV</t>
  </si>
  <si>
    <t>676,33,male,2,own,little,NA,5150,24,furniture/equipment</t>
  </si>
  <si>
    <t>677,24,male,2,own,moderate,moderate,5595,72,radio/TV</t>
  </si>
  <si>
    <t>678,64,male,1,rent,little,little,2384,24,radio/TV</t>
  </si>
  <si>
    <t>679,26,female,2,own,little,NA,1453,18,radio/TV</t>
  </si>
  <si>
    <t>680,56,female,2,own,little,NA,1538,6,education</t>
  </si>
  <si>
    <t>681,37,male,2,free,NA,NA,2279,12,radio/TV</t>
  </si>
  <si>
    <t>682,33,male,2,own,little,NA,1478,15,radio/TV</t>
  </si>
  <si>
    <t>683,47,male,2,free,little,NA,5103,24,radio/TV</t>
  </si>
  <si>
    <t>684,31,male,1,own,moderate,moderate,9857,36,business</t>
  </si>
  <si>
    <t>685,34,male,2,free,NA,NA,6527,60,car</t>
  </si>
  <si>
    <t>686,27,male,2,own,NA,rich,1347,10,radio/TV</t>
  </si>
  <si>
    <t>687,30,male,2,free,moderate,moderate,2862,36,car</t>
  </si>
  <si>
    <t>688,35,male,2,own,moderate,NA,2753,9,radio/TV</t>
  </si>
  <si>
    <t>689,31,male,2,own,rich,little,3651,12,car</t>
  </si>
  <si>
    <t>690,25,male,2,own,little,little,975,15,furniture/equipment</t>
  </si>
  <si>
    <t>691,25,female,1,own,moderate,moderate,2631,15,repairs</t>
  </si>
  <si>
    <t>692,29,male,2,own,moderate,moderate,2896,24,radio/TV</t>
  </si>
  <si>
    <t>693,44,male,1,own,NA,little,4716,6,car</t>
  </si>
  <si>
    <t>694,28,male,2,own,little,NA,2284,24,radio/TV</t>
  </si>
  <si>
    <t>695,50,male,2,rent,quite rich,NA,1236,6,car</t>
  </si>
  <si>
    <t>696,29,male,2,own,little,moderate,1103,12,radio/TV</t>
  </si>
  <si>
    <t>697,38,female,0,own,little,NA,926,12,car</t>
  </si>
  <si>
    <t>698,24,male,2,own,little,NA,1800,18,radio/TV</t>
  </si>
  <si>
    <t>699,40,male,3,rent,little,rich,1905,15,education</t>
  </si>
  <si>
    <t>700,29,female,1,rent,quite rich,NA,1123,12,furniture/equipment</t>
  </si>
  <si>
    <t>701,46,male,2,free,little,little,6331,48,car</t>
  </si>
  <si>
    <t>702,47,female,2,free,moderate,rich,1377,24,radio/TV</t>
  </si>
  <si>
    <t>703,41,male,2,own,moderate,moderate,2503,30,business</t>
  </si>
  <si>
    <t>704,32,female,2,own,little,moderate,2528,27,business</t>
  </si>
  <si>
    <t>705,35,female,2,free,quite rich,NA,5324,15,car</t>
  </si>
  <si>
    <t>706,24,male,2,own,moderate,moderate,6560,48,car</t>
  </si>
  <si>
    <t>707,25,female,2,rent,little,moderate,2969,12,furniture/equipment</t>
  </si>
  <si>
    <t>708,25,female,2,own,little,moderate,1206,9,radio/TV</t>
  </si>
  <si>
    <t>709,37,male,1,own,little,moderate,2118,9,radio/TV</t>
  </si>
  <si>
    <t>710,32,male,3,own,quite rich,NA,629,18,radio/TV</t>
  </si>
  <si>
    <t>711,35,female,2,free,little,little,1198,6,education</t>
  </si>
  <si>
    <t>712,46,male,3,own,NA,NA,2476,21,car</t>
  </si>
  <si>
    <t>713,25,male,1,own,little,little,1138,9,radio/TV</t>
  </si>
  <si>
    <t>714,27,male,3,own,little,moderate,14027,60,car</t>
  </si>
  <si>
    <t>715,63,male,2,own,NA,NA,7596,30,car</t>
  </si>
  <si>
    <t>716,40,male,2,own,NA,NA,3077,30,radio/TV</t>
  </si>
  <si>
    <t>717,32,male,3,free,little,NA,1505,18,radio/TV</t>
  </si>
  <si>
    <t>718,31,male,2,own,NA,rich,3148,24,radio/TV</t>
  </si>
  <si>
    <t>719,31,male,2,own,moderate,moderate,6148,20,car</t>
  </si>
  <si>
    <t>720,34,male,3,own,little,rich,1337,9,radio/TV</t>
  </si>
  <si>
    <t>721,24,female,2,rent,rich,moderate,433,6,education</t>
  </si>
  <si>
    <t>722,24,female,1,own,little,little,1228,12,car</t>
  </si>
  <si>
    <t>723,66,female,1,own,quite rich,moderate,790,9,radio/TV</t>
  </si>
  <si>
    <t>724,21,female,2,rent,little,NA,2570,27,car</t>
  </si>
  <si>
    <t>725,41,female,1,own,rich,NA,250,6,car</t>
  </si>
  <si>
    <t>726,47,male,1,own,quite rich,NA,1316,15,radio/TV</t>
  </si>
  <si>
    <t>727,25,female,2,rent,little,little,1882,18,radio/TV</t>
  </si>
  <si>
    <t>728,59,female,2,rent,little,moderate,6416,48,business</t>
  </si>
  <si>
    <t>729,36,male,2,own,rich,rich,1275,24,business</t>
  </si>
  <si>
    <t>730,33,male,2,own,little,moderate,6403,24,radio/TV</t>
  </si>
  <si>
    <t>731,21,male,1,rent,little,little,1987,24,radio/TV</t>
  </si>
  <si>
    <t>732,44,female,1,own,little,moderate,760,8,radio/TV</t>
  </si>
  <si>
    <t>733,28,female,2,rent,rich,NA,2603,24,car</t>
  </si>
  <si>
    <t>734,37,female,2,own,little,NA,3380,4,car</t>
  </si>
  <si>
    <t>735,29,female,0,own,NA,moderate,3990,36,domestic appliances</t>
  </si>
  <si>
    <t>736,23,female,3,rent,little,moderate,11560,24,car</t>
  </si>
  <si>
    <t>737,35,male,1,own,moderate,little,4380,18,car</t>
  </si>
  <si>
    <t>738,45,male,3,own,little,NA,6761,6,car</t>
  </si>
  <si>
    <t>739,26,female,1,rent,moderate,moderate,4280,30,business</t>
  </si>
  <si>
    <t>740,32,male,2,own,moderate,little,2325,24,car</t>
  </si>
  <si>
    <t>741,23,male,1,own,little,moderate,1048,10,radio/TV</t>
  </si>
  <si>
    <t>742,41,male,2,own,NA,NA,3160,21,radio/TV</t>
  </si>
  <si>
    <t>743,22,male,2,own,quite rich,little,2483,24,furniture/equipment</t>
  </si>
  <si>
    <t>744,30,male,3,own,NA,little,14179,39,furniture/equipment</t>
  </si>
  <si>
    <t>745,28,male,1,own,little,little,1797,13,business</t>
  </si>
  <si>
    <t>746,23,female,2,rent,little,little,2511,15,car</t>
  </si>
  <si>
    <t>747,37,female,1,own,little,little,1274,12,car</t>
  </si>
  <si>
    <t>748,26,male,2,own,NA,NA,5248,21,car</t>
  </si>
  <si>
    <t>749,33,male,2,own,little,NA,3029,15,car</t>
  </si>
  <si>
    <t>750,49,female,2,own,little,little,428,6,furniture/equipment</t>
  </si>
  <si>
    <t>751,23,female,1,own,little,little,976,18,car</t>
  </si>
  <si>
    <t>752,23,female,1,rent,moderate,moderate,841,12,business</t>
  </si>
  <si>
    <t>753,25,female,2,own,little,NA,5771,30,radio/TV</t>
  </si>
  <si>
    <t>754,55,male,2,free,rich,NA,1555,12,repairs</t>
  </si>
  <si>
    <t>755,32,female,2,rent,NA,little,1285,24,car</t>
  </si>
  <si>
    <t>756,74,male,0,own,little,rich,1299,6,car</t>
  </si>
  <si>
    <t>757,39,male,2,free,NA,rich,1271,15,radio/TV</t>
  </si>
  <si>
    <t>758,31,male,2,own,little,NA,1393,24,car</t>
  </si>
  <si>
    <t>759,35,male,2,own,little,little,691,12,car</t>
  </si>
  <si>
    <t>760,59,female,2,own,NA,NA,5045,15,car</t>
  </si>
  <si>
    <t>761,24,female,2,rent,little,little,2124,18,furniture/equipment</t>
  </si>
  <si>
    <t>762,24,male,1,own,little,little,2214,12,radio/TV</t>
  </si>
  <si>
    <t>763,30,male,3,free,NA,NA,12680,21,car</t>
  </si>
  <si>
    <t>764,27,male,2,own,moderate,NA,2463,24,car</t>
  </si>
  <si>
    <t>765,40,male,1,own,little,moderate,1155,12,radio/TV</t>
  </si>
  <si>
    <t>766,31,male,1,own,little,little,3108,30,furniture/equipment</t>
  </si>
  <si>
    <t>767,31,female,2,rent,NA,NA,2901,10,car</t>
  </si>
  <si>
    <t>768,28,male,2,rent,little,moderate,3617,12,furniture/equipment</t>
  </si>
  <si>
    <t>769,63,male,1,own,little,NA,1655,12,radio/TV</t>
  </si>
  <si>
    <t>770,26,female,2,rent,NA,little,2812,24,car</t>
  </si>
  <si>
    <t>771,25,female,3,own,little,little,8065,36,education</t>
  </si>
  <si>
    <t>772,36,male,3,own,little,NA,3275,21,car</t>
  </si>
  <si>
    <t>773,52,male,2,own,moderate,NA,2223,24,radio/TV</t>
  </si>
  <si>
    <t>774,66,male,0,free,quite rich,rich,1480,12,car</t>
  </si>
  <si>
    <t>775,25,female,2,rent,NA,little,1371,24,car</t>
  </si>
  <si>
    <t>776,37,male,2,own,little,NA,3535,36,car</t>
  </si>
  <si>
    <t>777,25,female,2,own,little,little,3509,18,radio/TV</t>
  </si>
  <si>
    <t>778,38,male,3,own,rich,NA,5711,36,car</t>
  </si>
  <si>
    <t>779,67,female,2,own,little,moderate,3872,18,repairs</t>
  </si>
  <si>
    <t>780,25,male,2,own,little,moderate,4933,39,radio/TV</t>
  </si>
  <si>
    <t>781,60,male,2,own,rich,NA,1940,24,car</t>
  </si>
  <si>
    <t>782,31,male,1,own,little,moderate,1410,12,education</t>
  </si>
  <si>
    <t>783,23,female,1,own,moderate,moderate,836,12,car</t>
  </si>
  <si>
    <t>784,60,male,3,own,NA,moderate,6468,20,car</t>
  </si>
  <si>
    <t>785,35,male,1,own,rich,moderate,1941,18,business</t>
  </si>
  <si>
    <t>786,40,male,2,own,quite rich,NA,2675,22,radio/TV</t>
  </si>
  <si>
    <t>787,38,male,2,own,NA,NA,2751,48,car</t>
  </si>
  <si>
    <t>788,50,male,2,free,little,moderate,6224,48,education</t>
  </si>
  <si>
    <t>789,27,male,2,own,little,little,5998,40,education</t>
  </si>
  <si>
    <t>790,39,female,2,own,little,moderate,1188,21,business</t>
  </si>
  <si>
    <t>791,41,male,3,own,NA,NA,6313,24,car</t>
  </si>
  <si>
    <t>792,27,male,2,own,NA,NA,1221,6,furniture/equipment</t>
  </si>
  <si>
    <t>793,51,male,2,free,little,rich,2892,24,furniture/equipment</t>
  </si>
  <si>
    <t>794,32,male,2,rent,quite rich,NA,3062,24,furniture/equipment</t>
  </si>
  <si>
    <t>795,22,female,2,rent,moderate,NA,2301,9,furniture/equipment</t>
  </si>
  <si>
    <t>796,51,male,2,free,NA,little,7511,18,car</t>
  </si>
  <si>
    <t>797,22,female,1,rent,little,NA,1258,12,furniture/equipment</t>
  </si>
  <si>
    <t>798,54,male,2,own,NA,NA,717,24,car</t>
  </si>
  <si>
    <t>799,35,male,0,own,NA,moderate,1549,9,car</t>
  </si>
  <si>
    <t>800,54,male,2,free,little,NA,1597,24,education</t>
  </si>
  <si>
    <t>801,48,female,1,rent,little,moderate,1795,18,radio/TV</t>
  </si>
  <si>
    <t>802,24,female,2,own,little,little,4272,20,furniture/equipment</t>
  </si>
  <si>
    <t>803,35,male,2,own,NA,NA,976,12,radio/TV</t>
  </si>
  <si>
    <t>804,24,female,0,rent,NA,moderate,7472,12,car</t>
  </si>
  <si>
    <t>805,24,male,2,own,little,little,9271,36,car</t>
  </si>
  <si>
    <t>806,26,male,1,own,little,moderate,590,6,radio/TV</t>
  </si>
  <si>
    <t>807,65,male,2,own,NA,NA,930,12,radio/TV</t>
  </si>
  <si>
    <t>808,55,male,3,free,little,moderate,9283,42,car</t>
  </si>
  <si>
    <t>809,26,female,0,rent,little,moderate,1778,15,car</t>
  </si>
  <si>
    <t>810,26,male,2,own,little,moderate,907,8,business</t>
  </si>
  <si>
    <t>811,28,male,1,own,little,moderate,484,6,radio/TV</t>
  </si>
  <si>
    <t>812,24,male,2,own,little,little,9629,36,car</t>
  </si>
  <si>
    <t>813,54,male,2,own,little,little,3051,48,domestic appliances</t>
  </si>
  <si>
    <t>814,46,male,2,free,little,little,3931,48,car</t>
  </si>
  <si>
    <t>815,54,female,2,rent,little,moderate,7432,36,car</t>
  </si>
  <si>
    <t>816,62,male,2,own,quite rich,NA,1338,6,domestic appliances</t>
  </si>
  <si>
    <t>817,24,female,2,rent,little,NA,1554,6,radio/TV</t>
  </si>
  <si>
    <t>818,43,male,3,own,little,little,15857,36,vacation/others</t>
  </si>
  <si>
    <t>819,26,male,2,own,little,little,1345,18,radio/TV</t>
  </si>
  <si>
    <t>820,27,male,2,own,little,NA,1101,12,car</t>
  </si>
  <si>
    <t>821,24,male,2,own,little,rich,3016,12,radio/TV</t>
  </si>
  <si>
    <t>822,41,male,2,own,little,little,2712,36,furniture/equipment</t>
  </si>
  <si>
    <t>823,47,male,1,own,little,little,731,8,car</t>
  </si>
  <si>
    <t>824,35,male,3,own,little,NA,3780,18,furniture/equipment</t>
  </si>
  <si>
    <t>825,30,male,2,own,little,little,1602,21,car</t>
  </si>
  <si>
    <t>826,33,female,2,rent,little,little,3966,18,car</t>
  </si>
  <si>
    <t>827,36,male,2,own,little,NA,4165,18,business</t>
  </si>
  <si>
    <t>828,47,male,2,free,NA,little,8335,36,car</t>
  </si>
  <si>
    <t>829,38,male,2,free,NA,moderate,6681,48,business</t>
  </si>
  <si>
    <t>830,44,male,2,own,quite rich,NA,2375,24,business</t>
  </si>
  <si>
    <t>831,23,female,2,rent,little,little,1216,18,car</t>
  </si>
  <si>
    <t>832,29,male,2,rent,little,little,11816,45,business</t>
  </si>
  <si>
    <t>833,42,female,2,own,NA,moderate,5084,24,radio/TV</t>
  </si>
  <si>
    <t>834,25,female,1,own,little,rich,2327,15,radio/TV</t>
  </si>
  <si>
    <t>835,48,male,2,own,little,little,1082,12,car</t>
  </si>
  <si>
    <t>836,21,female,2,own,NA,NA,886,12,radio/TV</t>
  </si>
  <si>
    <t>837,23,female,1,rent,little,NA,601,4,furniture/equipment</t>
  </si>
  <si>
    <t>838,63,male,2,own,little,little,2957,24,car</t>
  </si>
  <si>
    <t>839,46,male,2,own,little,NA,2611,24,radio/TV</t>
  </si>
  <si>
    <t>840,29,male,2,own,little,little,5179,36,furniture/equipment</t>
  </si>
  <si>
    <t>841,28,male,1,own,little,NA,2993,21,car</t>
  </si>
  <si>
    <t>842,23,female,2,own,little,NA,1943,18,repairs</t>
  </si>
  <si>
    <t>843,50,male,2,own,little,NA,1559,24,business</t>
  </si>
  <si>
    <t>844,47,male,2,own,little,NA,3422,18,furniture/equipment</t>
  </si>
  <si>
    <t>845,35,male,2,own,NA,moderate,3976,21,furniture/equipment</t>
  </si>
  <si>
    <t>846,68,male,2,rent,NA,NA,6761,18,car</t>
  </si>
  <si>
    <t>847,28,male,2,own,little,NA,1249,24,car</t>
  </si>
  <si>
    <t>848,59,male,2,own,little,little,1364,9,radio/TV</t>
  </si>
  <si>
    <t>849,57,male,1,own,little,little,709,12,radio/TV</t>
  </si>
  <si>
    <t>850,33,male,2,rent,little,little,2235,20,car</t>
  </si>
  <si>
    <t>851,43,male,2,own,NA,NA,4042,24,car</t>
  </si>
  <si>
    <t>852,35,male,2,free,little,NA,1471,15,radio/TV</t>
  </si>
  <si>
    <t>853,32,male,1,free,little,little,1442,18,car</t>
  </si>
  <si>
    <t>854,45,male,2,own,little,NA,10875,36,car</t>
  </si>
  <si>
    <t>855,33,male,2,own,moderate,NA,1474,24,car</t>
  </si>
  <si>
    <t>856,40,female,2,own,NA,NA,894,10,education</t>
  </si>
  <si>
    <t>857,28,male,2,free,little,NA,3343,15,furniture/equipment</t>
  </si>
  <si>
    <t>858,29,female,2,own,little,little,3959,15,car</t>
  </si>
  <si>
    <t>859,26,male,2,rent,moderate,NA,3577,9,car</t>
  </si>
  <si>
    <t>860,27,male,2,own,rich,NA,5804,24,car</t>
  </si>
  <si>
    <t>861,28,male,2,own,little,NA,2169,18,business</t>
  </si>
  <si>
    <t>862,35,female,2,own,little,little,2439,24,radio/TV</t>
  </si>
  <si>
    <t>863,32,male,1,own,rich,NA,4526,27,furniture/equipment</t>
  </si>
  <si>
    <t>864,25,male,1,rent,little,NA,2210,10,furniture/equipment</t>
  </si>
  <si>
    <t>865,20,female,2,rent,quite rich,NA,2221,15,furniture/equipment</t>
  </si>
  <si>
    <t>866,27,female,2,own,little,little,2389,18,radio/TV</t>
  </si>
  <si>
    <t>867,42,male,2,own,little,NA,3331,12,furniture/equipment</t>
  </si>
  <si>
    <t>868,37,male,2,own,NA,NA,7409,36,business</t>
  </si>
  <si>
    <t>869,24,female,2,rent,little,little,652,12,furniture/equipment</t>
  </si>
  <si>
    <t>870,40,female,2,own,quite rich,NA,7678,36,furniture/equipment</t>
  </si>
  <si>
    <t>871,46,male,2,own,little,rich,1343,6,car</t>
  </si>
  <si>
    <t>872,26,male,2,own,moderate,little,1382,24,business</t>
  </si>
  <si>
    <t>873,24,female,2,own,NA,NA,874,15,domestic appliances</t>
  </si>
  <si>
    <t>874,29,male,1,own,little,little,3590,12,furniture/equipment</t>
  </si>
  <si>
    <t>875,40,female,2,own,rich,moderate,1322,11,car</t>
  </si>
  <si>
    <t>876,36,male,3,free,little,little,1940,18,radio/TV</t>
  </si>
  <si>
    <t>877,28,male,2,own,little,NA,3595,36,radio/TV</t>
  </si>
  <si>
    <t>878,27,male,3,free,little,little,1422,9,car</t>
  </si>
  <si>
    <t>879,36,male,2,own,NA,NA,6742,30,radio/TV</t>
  </si>
  <si>
    <t>880,38,male,3,own,little,NA,7814,24,car</t>
  </si>
  <si>
    <t>881,48,male,2,free,NA,NA,9277,24,car</t>
  </si>
  <si>
    <t>882,36,male,2,own,NA,moderate,2181,30,car</t>
  </si>
  <si>
    <t>883,65,female,0,own,little,NA,1098,18,radio/TV</t>
  </si>
  <si>
    <t>884,43,male,2,own,little,moderate,4057,24,furniture/equipment</t>
  </si>
  <si>
    <t>885,53,female,2,own,little,little,795,12,education</t>
  </si>
  <si>
    <t>886,34,male,2,own,NA,moderate,2825,24,business</t>
  </si>
  <si>
    <t>887,23,male,2,own,little,moderate,15672,48,business</t>
  </si>
  <si>
    <t>888,34,male,3,own,little,NA,6614,36,car</t>
  </si>
  <si>
    <t>889,40,male,2,rent,NA,NA,7824,28,car</t>
  </si>
  <si>
    <t>890,43,male,3,own,little,little,2442,27,business</t>
  </si>
  <si>
    <t>891,46,male,2,own,little,NA,1829,15,radio/TV</t>
  </si>
  <si>
    <t>892,38,male,1,own,little,little,2171,12,car</t>
  </si>
  <si>
    <t>893,34,male,2,own,little,moderate,5800,36,car</t>
  </si>
  <si>
    <t>894,29,male,2,own,NA,NA,1169,18,radio/TV</t>
  </si>
  <si>
    <t>895,31,male,3,own,NA,NA,8947,36,car</t>
  </si>
  <si>
    <t>896,28,female,3,rent,little,little,2606,21,radio/TV</t>
  </si>
  <si>
    <t>897,35,female,2,own,rich,NA,1592,12,furniture/equipment</t>
  </si>
  <si>
    <t>898,33,female,1,rent,NA,NA,2186,15,furniture/equipment</t>
  </si>
  <si>
    <t>899,42,male,2,own,little,little,4153,18,furniture/equipment</t>
  </si>
  <si>
    <t>900,43,male,2,rent,little,little,2625,16,car</t>
  </si>
  <si>
    <t>901,44,male,2,own,NA,NA,3485,20,car</t>
  </si>
  <si>
    <t>902,42,male,2,free,NA,NA,10477,36,car</t>
  </si>
  <si>
    <t>903,40,male,2,rent,NA,NA,1386,15,radio/TV</t>
  </si>
  <si>
    <t>904,36,male,3,own,little,NA,1278,24,radio/TV</t>
  </si>
  <si>
    <t>905,20,male,3,rent,little,little,1107,12,radio/TV</t>
  </si>
  <si>
    <t>906,24,male,1,own,NA,little,3763,21,car</t>
  </si>
  <si>
    <t>907,27,male,2,own,NA,moderate,3711,36,education</t>
  </si>
  <si>
    <t>908,46,female,1,own,little,NA,3594,15,car</t>
  </si>
  <si>
    <t>909,33,female,1,own,NA,moderate,3195,9,car</t>
  </si>
  <si>
    <t>910,34,female,2,own,little,NA,4454,36,radio/TV</t>
  </si>
  <si>
    <t>911,25,female,1,own,little,moderate,4736,24,furniture/equipment</t>
  </si>
  <si>
    <t>912,25,female,2,own,NA,moderate,2991,30,radio/TV</t>
  </si>
  <si>
    <t>913,28,male,2,own,rich,NA,2142,11,business</t>
  </si>
  <si>
    <t>914,31,male,2,rent,little,little,3161,24,business</t>
  </si>
  <si>
    <t>915,32,female,3,own,little,moderate,18424,48,vacation/others</t>
  </si>
  <si>
    <t>916,32,male,2,own,moderate,NA,2848,10,car</t>
  </si>
  <si>
    <t>917,68,male,3,own,little,little,14896,6,car</t>
  </si>
  <si>
    <t>918,33,male,2,own,moderate,little,2359,24,furniture/equipment</t>
  </si>
  <si>
    <t>919,39,male,3,rent,little,little,3345,24,furniture/equipment</t>
  </si>
  <si>
    <t>920,28,female,2,own,little,NA,1817,18,furniture/equipment</t>
  </si>
  <si>
    <t>921,37,male,3,own,quite rich,NA,12749,48,radio/TV</t>
  </si>
  <si>
    <t>922,22,female,2,rent,little,little,1366,9,radio/TV</t>
  </si>
  <si>
    <t>923,30,male,2,rent,little,moderate,2002,12,car</t>
  </si>
  <si>
    <t>924,55,male,2,own,little,little,6872,24,furniture/equipment</t>
  </si>
  <si>
    <t>925,46,male,2,own,little,little,697,12,car</t>
  </si>
  <si>
    <t>926,21,female,2,rent,little,little,1049,18,furniture/equipment</t>
  </si>
  <si>
    <t>927,39,male,2,free,little,little,10297,48,car</t>
  </si>
  <si>
    <t>928,58,male,2,own,NA,NA,1867,30,radio/TV</t>
  </si>
  <si>
    <t>929,43,male,1,own,little,little,1344,12,car</t>
  </si>
  <si>
    <t>930,24,male,1,own,little,little,1747,24,furniture/equipment</t>
  </si>
  <si>
    <t>931,22,female,2,own,little,moderate,1670,9,radio/TV</t>
  </si>
  <si>
    <t>932,30,male,2,own,little,NA,1224,9,car</t>
  </si>
  <si>
    <t>933,42,male,2,own,quite rich,NA,522,12,radio/TV</t>
  </si>
  <si>
    <t>934,23,female,2,own,little,little,1498,12,radio/TV</t>
  </si>
  <si>
    <t>935,30,male,3,own,moderate,moderate,1919,30,radio/TV</t>
  </si>
  <si>
    <t>936,28,female,1,own,little,rich,745,9,radio/TV</t>
  </si>
  <si>
    <t>937,30,male,3,rent,little,moderate,2063,6,radio/TV</t>
  </si>
  <si>
    <t>938,42,male,2,free,little,moderate,6288,60,education</t>
  </si>
  <si>
    <t>939,46,male,3,own,NA,NA,6842,24,car</t>
  </si>
  <si>
    <t>940,45,male,3,own,NA,NA,3527,12,car</t>
  </si>
  <si>
    <t>941,31,male,1,own,little,NA,1546,10,car</t>
  </si>
  <si>
    <t>942,31,male,2,own,NA,NA,929,24,furniture/equipment</t>
  </si>
  <si>
    <t>943,42,male,1,own,little,NA,1455,4,car</t>
  </si>
  <si>
    <t>944,46,female,2,rent,little,little,1845,15,furniture/equipment</t>
  </si>
  <si>
    <t>945,30,female,2,own,quite rich,moderate,8358,48,car</t>
  </si>
  <si>
    <t>946,30,male,2,free,quite rich,little,3349,24,furniture/equipment</t>
  </si>
  <si>
    <t>947,38,male,3,own,NA,NA,2859,12,car</t>
  </si>
  <si>
    <t>948,43,male,1,own,little,NA,1533,18,furniture/equipment</t>
  </si>
  <si>
    <t>949,31,male,2,own,moderate,NA,3621,24,radio/TV</t>
  </si>
  <si>
    <t>950,40,male,0,own,little,moderate,3590,18,business</t>
  </si>
  <si>
    <t>951,24,male,2,own,little,little,2145,36,business</t>
  </si>
  <si>
    <t>952,28,female,2,rent,quite rich,moderate,4113,24,car</t>
  </si>
  <si>
    <t>953,26,female,3,own,little,NA,10974,36,furniture/equipment</t>
  </si>
  <si>
    <t>954,29,female,2,own,little,little,1893,12,car</t>
  </si>
  <si>
    <t>955,57,female,3,rent,rich,little,1231,24,radio/TV</t>
  </si>
  <si>
    <t>956,49,male,1,own,NA,rich,3656,30,radio/TV</t>
  </si>
  <si>
    <t>957,37,male,1,own,little,moderate,1154,9,radio/TV</t>
  </si>
  <si>
    <t>958,45,male,1,own,little,little,4006,28,car</t>
  </si>
  <si>
    <t>959,30,male,2,free,moderate,moderate,3069,24,furniture/equipment</t>
  </si>
  <si>
    <t>960,30,male,2,rent,little,NA,1740,6,radio/TV</t>
  </si>
  <si>
    <t>961,47,male,2,own,little,moderate,2353,21,car</t>
  </si>
  <si>
    <t>962,29,male,2,own,NA,NA,3556,15,car</t>
  </si>
  <si>
    <t>963,35,male,2,own,quite rich,NA,2397,24,radio/TV</t>
  </si>
  <si>
    <t>964,22,male,1,own,little,moderate,454,6,repairs</t>
  </si>
  <si>
    <t>965,26,female,2,own,NA,moderate,1715,30,radio/TV</t>
  </si>
  <si>
    <t>966,23,male,1,own,quite rich,moderate,2520,27,radio/TV</t>
  </si>
  <si>
    <t>967,54,female,3,rent,little,NA,3568,15,radio/TV</t>
  </si>
  <si>
    <t>968,29,male,2,rent,NA,NA,7166,42,radio/TV</t>
  </si>
  <si>
    <t>969,40,male,1,own,little,little,3939,11,car</t>
  </si>
  <si>
    <t>970,22,male,2,own,moderate,moderate,1514,15,repairs</t>
  </si>
  <si>
    <t>971,43,male,1,own,little,NA,7393,24,car</t>
  </si>
  <si>
    <t>972,29,female,0,rent,little,little,1193,24,car</t>
  </si>
  <si>
    <t>973,36,male,2,rent,little,little,7297,60,business</t>
  </si>
  <si>
    <t>974,33,female,2,own,little,NA,2831,30,radio/TV</t>
  </si>
  <si>
    <t>975,57,female,1,own,quite rich,rich,1258,24,radio/TV</t>
  </si>
  <si>
    <t>976,64,female,2,own,little,moderate,753,6,radio/TV</t>
  </si>
  <si>
    <t>977,42,male,2,own,NA,moderate,2427,18,business</t>
  </si>
  <si>
    <t>978,47,male,1,own,little,NA,2538,24,car</t>
  </si>
  <si>
    <t>979,25,male,2,rent,moderate,moderate,1264,15,car</t>
  </si>
  <si>
    <t>980,49,male,2,own,little,moderate,8386,30,furniture/equipment</t>
  </si>
  <si>
    <t>981,33,male,3,rent,little,NA,4844,48,business</t>
  </si>
  <si>
    <t>982,28,female,3,own,moderate,rich,2923,21,car</t>
  </si>
  <si>
    <t>983,26,male,2,own,little,little,8229,36,car</t>
  </si>
  <si>
    <t>984,30,male,1,own,little,NA,2028,24,furniture/equipment</t>
  </si>
  <si>
    <t>985,25,female,2,rent,little,little,1433,15,furniture/equipment</t>
  </si>
  <si>
    <t>986,33,male,2,own,little,rich,6289,42,business</t>
  </si>
  <si>
    <t>987,64,female,2,own,moderate,NA,1409,13,radio/TV</t>
  </si>
  <si>
    <t>988,29,male,3,free,little,little,6579,24,car</t>
  </si>
  <si>
    <t>989,48,male,1,own,little,moderate,1743,24,radio/TV</t>
  </si>
  <si>
    <t>990,37,male,1,own,NA,NA,3565,12,education</t>
  </si>
  <si>
    <t>991,34,male,1,own,moderate,NA,1569,15,radio/TV</t>
  </si>
  <si>
    <t>992,23,male,1,rent,NA,little,1936,18,radio/TV</t>
  </si>
  <si>
    <t>993,30,male,3,own,little,little,3959,36,furniture/equipment</t>
  </si>
  <si>
    <t>994,50,male,2,own,NA,NA,2390,12,car</t>
  </si>
  <si>
    <t>995,31,female,1,own,little,NA,1736,12,furniture/equipment</t>
  </si>
  <si>
    <t>996,40,male,3,own,little,little,3857,30,car</t>
  </si>
  <si>
    <t>997,38,male,2,own,little,NA,804,12,radio/TV</t>
  </si>
  <si>
    <t>998,23,male,2,free,little,little,1845,45,radio/TV</t>
  </si>
  <si>
    <t>999,27,male,2,own,moderate,moderate,4576,45,car</t>
  </si>
  <si>
    <t>Age</t>
  </si>
  <si>
    <t>Sex</t>
  </si>
  <si>
    <t>Job</t>
  </si>
  <si>
    <t>Housing</t>
  </si>
  <si>
    <t>Saving accounts</t>
  </si>
  <si>
    <t>Checking account</t>
  </si>
  <si>
    <t>Purpose</t>
  </si>
  <si>
    <t>rich</t>
  </si>
  <si>
    <t>Female</t>
  </si>
  <si>
    <t>Male</t>
  </si>
  <si>
    <t>Unknown</t>
  </si>
  <si>
    <t>Little</t>
  </si>
  <si>
    <t>Moderate</t>
  </si>
  <si>
    <t>Quite rich</t>
  </si>
  <si>
    <t>Free</t>
  </si>
  <si>
    <t>Own</t>
  </si>
  <si>
    <t>Rent</t>
  </si>
  <si>
    <t>Business</t>
  </si>
  <si>
    <t>Car</t>
  </si>
  <si>
    <t>Domestic appliances</t>
  </si>
  <si>
    <t>Education</t>
  </si>
  <si>
    <t>Furniture/Equipment</t>
  </si>
  <si>
    <t>Radio/TV</t>
  </si>
  <si>
    <t>Repairs</t>
  </si>
  <si>
    <t>Vacation/Others</t>
  </si>
  <si>
    <t>Credit Amount</t>
  </si>
  <si>
    <t>Loan Duration</t>
  </si>
  <si>
    <t xml:space="preserve">Risk </t>
  </si>
  <si>
    <t>Age Group</t>
  </si>
  <si>
    <t>Loan Duration Group</t>
  </si>
  <si>
    <t>Row Labels</t>
  </si>
  <si>
    <t>High Risk</t>
  </si>
  <si>
    <t>Low Risk</t>
  </si>
  <si>
    <t>Medium Risk</t>
  </si>
  <si>
    <t>Grand Total</t>
  </si>
  <si>
    <t xml:space="preserve">Count of Risk </t>
  </si>
  <si>
    <t>Adult</t>
  </si>
  <si>
    <t>Senior</t>
  </si>
  <si>
    <t>Young</t>
  </si>
  <si>
    <t>Column Labels</t>
  </si>
  <si>
    <t>Loan Size Group</t>
  </si>
  <si>
    <t>Short</t>
  </si>
  <si>
    <t>Medium</t>
  </si>
  <si>
    <t>Long</t>
  </si>
  <si>
    <t>Credit Risk Analysis Dashboard</t>
  </si>
  <si>
    <t>💼 Core KPIs</t>
  </si>
  <si>
    <t>Total Customers</t>
  </si>
  <si>
    <t>Total Loans Issued</t>
  </si>
  <si>
    <t>Total Credit Amount</t>
  </si>
  <si>
    <t xml:space="preserve">Core KPIs  </t>
  </si>
  <si>
    <t>Percentages %</t>
  </si>
  <si>
    <t>Column1</t>
  </si>
  <si>
    <t>Column2</t>
  </si>
  <si>
    <t>High Risk Customers</t>
  </si>
  <si>
    <t>Medium Risk Customers</t>
  </si>
  <si>
    <t>Low Risk Customers</t>
  </si>
  <si>
    <t>Risk Level</t>
  </si>
  <si>
    <t>Customer Count</t>
  </si>
  <si>
    <t>Percentage %</t>
  </si>
  <si>
    <t xml:space="preserve">Key Insights
• 81% of customers are low risk.
• High risk is concentrated in long-term loans.
• Car loans have the highest volume.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</si>
</sst>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theme="1"/>
      <name val="Aptos Narrow"/>
      <family val="2"/>
      <scheme val="minor"/>
    </font>
    <font>
      <b/>
      <sz val="14"/>
      <color theme="1"/>
      <name val="Aptos Narrow"/>
      <family val="2"/>
      <scheme val="minor"/>
    </font>
    <font>
      <sz val="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
      <patternFill patternType="solid">
        <fgColor theme="6" tint="0.39997558519241921"/>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16" fillId="0" borderId="0" xfId="0" applyFont="1"/>
    <xf numFmtId="0" fontId="0" fillId="0" borderId="0" xfId="0" pivotButton="1"/>
    <xf numFmtId="0" fontId="0" fillId="0" borderId="0" xfId="0" applyAlignment="1">
      <alignment horizontal="left"/>
    </xf>
    <xf numFmtId="1" fontId="16" fillId="0" borderId="0" xfId="0" applyNumberFormat="1" applyFont="1"/>
    <xf numFmtId="1" fontId="0" fillId="0" borderId="0" xfId="0" applyNumberFormat="1"/>
    <xf numFmtId="9" fontId="0" fillId="0" borderId="0" xfId="42" applyFont="1"/>
    <xf numFmtId="0" fontId="0" fillId="0" borderId="0" xfId="0" applyBorder="1"/>
    <xf numFmtId="0" fontId="16" fillId="0" borderId="0" xfId="0" applyFont="1" applyBorder="1"/>
    <xf numFmtId="0" fontId="0" fillId="0" borderId="10" xfId="0" applyBorder="1"/>
    <xf numFmtId="9" fontId="16" fillId="0" borderId="0" xfId="0" applyNumberFormat="1" applyFont="1"/>
    <xf numFmtId="0" fontId="0" fillId="0" borderId="0" xfId="0" applyNumberFormat="1"/>
    <xf numFmtId="164" fontId="0" fillId="0" borderId="0" xfId="42" applyNumberFormat="1" applyFont="1"/>
    <xf numFmtId="0" fontId="18" fillId="33" borderId="0" xfId="0" applyFont="1" applyFill="1" applyAlignment="1">
      <alignment horizontal="center" wrapText="1"/>
    </xf>
    <xf numFmtId="0" fontId="0" fillId="33" borderId="0" xfId="0" applyFill="1" applyAlignment="1">
      <alignment horizontal="center" wrapText="1"/>
    </xf>
    <xf numFmtId="0" fontId="19" fillId="34" borderId="0" xfId="0" applyFont="1" applyFill="1" applyAlignment="1">
      <alignment horizontal="center" wrapText="1"/>
    </xf>
    <xf numFmtId="0" fontId="0" fillId="34" borderId="0" xfId="0" applyFill="1" applyAlignment="1">
      <alignment horizontal="center" wrapText="1"/>
    </xf>
    <xf numFmtId="0" fontId="16" fillId="33" borderId="0" xfId="20" applyFont="1" applyFill="1" applyAlignment="1">
      <alignment horizontal="left" vertical="top" wrapText="1"/>
    </xf>
    <xf numFmtId="0" fontId="16" fillId="35" borderId="0" xfId="20" applyFont="1" applyFill="1" applyAlignment="1">
      <alignmen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9">
    <dxf>
      <font>
        <b val="0"/>
        <i val="0"/>
        <strike val="0"/>
        <condense val="0"/>
        <extend val="0"/>
        <outline val="0"/>
        <shadow val="0"/>
        <u val="none"/>
        <vertAlign val="baseline"/>
        <sz val="11"/>
        <color theme="1"/>
        <name val="Aptos Narrow"/>
        <family val="2"/>
        <scheme val="minor"/>
      </font>
      <numFmt numFmtId="164" formatCode="0.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font>
        <b/>
      </font>
      <numFmt numFmtId="13" formatCode="0%"/>
    </dxf>
    <dxf>
      <font>
        <b/>
      </font>
      <numFmt numFmtId="0" formatCode="General"/>
    </dxf>
    <dxf>
      <font>
        <b/>
      </font>
      <numFmt numFmtId="0" formatCode="General"/>
    </dxf>
    <dxf>
      <font>
        <b/>
      </font>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[German Credit Analysis.xlsx]Pivot table!PivotTable4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1" i="0" u="none" strike="noStrike" baseline="0"/>
              <a:t>Customer Risk Distribution by Age Group</a:t>
            </a:r>
            <a:endParaRPr lang="en-ZA"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table'!$B$23:$B$24</c:f>
              <c:strCache>
                <c:ptCount val="1"/>
                <c:pt idx="0">
                  <c:v>Low Risk</c:v>
                </c:pt>
              </c:strCache>
            </c:strRef>
          </c:tx>
          <c:spPr>
            <a:solidFill>
              <a:srgbClr val="00B050"/>
            </a:solidFill>
            <a:ln>
              <a:noFill/>
            </a:ln>
            <a:effectLst/>
          </c:spPr>
          <c:invertIfNegative val="0"/>
          <c:cat>
            <c:strRef>
              <c:f>'Pivot table'!$A$25:$A$28</c:f>
              <c:strCache>
                <c:ptCount val="3"/>
                <c:pt idx="0">
                  <c:v>Adult</c:v>
                </c:pt>
                <c:pt idx="1">
                  <c:v>Senior</c:v>
                </c:pt>
                <c:pt idx="2">
                  <c:v>Young</c:v>
                </c:pt>
              </c:strCache>
            </c:strRef>
          </c:cat>
          <c:val>
            <c:numRef>
              <c:f>'Pivot table'!$B$25:$B$28</c:f>
              <c:numCache>
                <c:formatCode>General</c:formatCode>
                <c:ptCount val="3"/>
                <c:pt idx="0">
                  <c:v>94</c:v>
                </c:pt>
                <c:pt idx="1">
                  <c:v>414</c:v>
                </c:pt>
                <c:pt idx="2">
                  <c:v>303</c:v>
                </c:pt>
              </c:numCache>
            </c:numRef>
          </c:val>
          <c:extLst>
            <c:ext xmlns:c16="http://schemas.microsoft.com/office/drawing/2014/chart" uri="{C3380CC4-5D6E-409C-BE32-E72D297353CC}">
              <c16:uniqueId val="{00000000-1455-40BD-9A30-B72821EF0613}"/>
            </c:ext>
          </c:extLst>
        </c:ser>
        <c:ser>
          <c:idx val="1"/>
          <c:order val="1"/>
          <c:tx>
            <c:strRef>
              <c:f>'Pivot table'!$C$23:$C$24</c:f>
              <c:strCache>
                <c:ptCount val="1"/>
                <c:pt idx="0">
                  <c:v>Medium Risk</c:v>
                </c:pt>
              </c:strCache>
            </c:strRef>
          </c:tx>
          <c:spPr>
            <a:solidFill>
              <a:schemeClr val="accent2"/>
            </a:solidFill>
            <a:ln>
              <a:noFill/>
            </a:ln>
            <a:effectLst/>
          </c:spPr>
          <c:invertIfNegative val="0"/>
          <c:cat>
            <c:strRef>
              <c:f>'Pivot table'!$A$25:$A$28</c:f>
              <c:strCache>
                <c:ptCount val="3"/>
                <c:pt idx="0">
                  <c:v>Adult</c:v>
                </c:pt>
                <c:pt idx="1">
                  <c:v>Senior</c:v>
                </c:pt>
                <c:pt idx="2">
                  <c:v>Young</c:v>
                </c:pt>
              </c:strCache>
            </c:strRef>
          </c:cat>
          <c:val>
            <c:numRef>
              <c:f>'Pivot table'!$C$25:$C$28</c:f>
              <c:numCache>
                <c:formatCode>General</c:formatCode>
                <c:ptCount val="3"/>
                <c:pt idx="1">
                  <c:v>22</c:v>
                </c:pt>
                <c:pt idx="2">
                  <c:v>18</c:v>
                </c:pt>
              </c:numCache>
            </c:numRef>
          </c:val>
          <c:extLst>
            <c:ext xmlns:c16="http://schemas.microsoft.com/office/drawing/2014/chart" uri="{C3380CC4-5D6E-409C-BE32-E72D297353CC}">
              <c16:uniqueId val="{00000001-1455-40BD-9A30-B72821EF0613}"/>
            </c:ext>
          </c:extLst>
        </c:ser>
        <c:ser>
          <c:idx val="2"/>
          <c:order val="2"/>
          <c:tx>
            <c:strRef>
              <c:f>'Pivot table'!$D$23:$D$24</c:f>
              <c:strCache>
                <c:ptCount val="1"/>
                <c:pt idx="0">
                  <c:v>High Risk</c:v>
                </c:pt>
              </c:strCache>
            </c:strRef>
          </c:tx>
          <c:spPr>
            <a:solidFill>
              <a:srgbClr val="FF0000"/>
            </a:solidFill>
            <a:ln>
              <a:noFill/>
            </a:ln>
            <a:effectLst/>
          </c:spPr>
          <c:invertIfNegative val="0"/>
          <c:cat>
            <c:strRef>
              <c:f>'Pivot table'!$A$25:$A$28</c:f>
              <c:strCache>
                <c:ptCount val="3"/>
                <c:pt idx="0">
                  <c:v>Adult</c:v>
                </c:pt>
                <c:pt idx="1">
                  <c:v>Senior</c:v>
                </c:pt>
                <c:pt idx="2">
                  <c:v>Young</c:v>
                </c:pt>
              </c:strCache>
            </c:strRef>
          </c:cat>
          <c:val>
            <c:numRef>
              <c:f>'Pivot table'!$D$25:$D$28</c:f>
              <c:numCache>
                <c:formatCode>General</c:formatCode>
                <c:ptCount val="3"/>
                <c:pt idx="0">
                  <c:v>19</c:v>
                </c:pt>
                <c:pt idx="1">
                  <c:v>80</c:v>
                </c:pt>
                <c:pt idx="2">
                  <c:v>50</c:v>
                </c:pt>
              </c:numCache>
            </c:numRef>
          </c:val>
          <c:extLst>
            <c:ext xmlns:c16="http://schemas.microsoft.com/office/drawing/2014/chart" uri="{C3380CC4-5D6E-409C-BE32-E72D297353CC}">
              <c16:uniqueId val="{00000002-1455-40BD-9A30-B72821EF0613}"/>
            </c:ext>
          </c:extLst>
        </c:ser>
        <c:dLbls>
          <c:showLegendKey val="0"/>
          <c:showVal val="0"/>
          <c:showCatName val="0"/>
          <c:showSerName val="0"/>
          <c:showPercent val="0"/>
          <c:showBubbleSize val="0"/>
        </c:dLbls>
        <c:gapWidth val="219"/>
        <c:overlap val="-27"/>
        <c:axId val="280007711"/>
        <c:axId val="280030751"/>
      </c:barChart>
      <c:catAx>
        <c:axId val="28000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030751"/>
        <c:crosses val="autoZero"/>
        <c:auto val="1"/>
        <c:lblAlgn val="ctr"/>
        <c:lblOffset val="100"/>
        <c:noMultiLvlLbl val="0"/>
      </c:catAx>
      <c:valAx>
        <c:axId val="28003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00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[German Credit Analysis.xlsx]Pivot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1" i="0" u="none" strike="noStrike" baseline="0"/>
              <a:t>Credit Risk by Loan Duration</a:t>
            </a:r>
            <a:endParaRPr lang="en-ZA"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table'!$B$37:$B$38</c:f>
              <c:strCache>
                <c:ptCount val="1"/>
                <c:pt idx="0">
                  <c:v>High Risk</c:v>
                </c:pt>
              </c:strCache>
            </c:strRef>
          </c:tx>
          <c:spPr>
            <a:solidFill>
              <a:srgbClr val="FF0000"/>
            </a:solidFill>
            <a:ln>
              <a:noFill/>
            </a:ln>
            <a:effectLst/>
          </c:spPr>
          <c:invertIfNegative val="0"/>
          <c:cat>
            <c:strRef>
              <c:f>'Pivot table'!$A$39:$A$42</c:f>
              <c:strCache>
                <c:ptCount val="3"/>
                <c:pt idx="0">
                  <c:v>Short</c:v>
                </c:pt>
                <c:pt idx="1">
                  <c:v>Medium</c:v>
                </c:pt>
                <c:pt idx="2">
                  <c:v>Long</c:v>
                </c:pt>
              </c:strCache>
            </c:strRef>
          </c:cat>
          <c:val>
            <c:numRef>
              <c:f>'Pivot table'!$B$39:$B$42</c:f>
              <c:numCache>
                <c:formatCode>General</c:formatCode>
                <c:ptCount val="3"/>
                <c:pt idx="0">
                  <c:v>4</c:v>
                </c:pt>
                <c:pt idx="1">
                  <c:v>30</c:v>
                </c:pt>
                <c:pt idx="2">
                  <c:v>115</c:v>
                </c:pt>
              </c:numCache>
            </c:numRef>
          </c:val>
          <c:extLst>
            <c:ext xmlns:c16="http://schemas.microsoft.com/office/drawing/2014/chart" uri="{C3380CC4-5D6E-409C-BE32-E72D297353CC}">
              <c16:uniqueId val="{00000000-AD4D-491A-86C7-6FEA46FAEED0}"/>
            </c:ext>
          </c:extLst>
        </c:ser>
        <c:ser>
          <c:idx val="1"/>
          <c:order val="1"/>
          <c:tx>
            <c:strRef>
              <c:f>'Pivot table'!$C$37:$C$38</c:f>
              <c:strCache>
                <c:ptCount val="1"/>
                <c:pt idx="0">
                  <c:v>Low Risk</c:v>
                </c:pt>
              </c:strCache>
            </c:strRef>
          </c:tx>
          <c:spPr>
            <a:solidFill>
              <a:srgbClr val="00B050"/>
            </a:solidFill>
            <a:ln>
              <a:noFill/>
            </a:ln>
            <a:effectLst/>
          </c:spPr>
          <c:invertIfNegative val="0"/>
          <c:cat>
            <c:strRef>
              <c:f>'Pivot table'!$A$39:$A$42</c:f>
              <c:strCache>
                <c:ptCount val="3"/>
                <c:pt idx="0">
                  <c:v>Short</c:v>
                </c:pt>
                <c:pt idx="1">
                  <c:v>Medium</c:v>
                </c:pt>
                <c:pt idx="2">
                  <c:v>Long</c:v>
                </c:pt>
              </c:strCache>
            </c:strRef>
          </c:cat>
          <c:val>
            <c:numRef>
              <c:f>'Pivot table'!$C$39:$C$42</c:f>
              <c:numCache>
                <c:formatCode>General</c:formatCode>
                <c:ptCount val="3"/>
                <c:pt idx="0">
                  <c:v>176</c:v>
                </c:pt>
                <c:pt idx="1">
                  <c:v>600</c:v>
                </c:pt>
                <c:pt idx="2">
                  <c:v>35</c:v>
                </c:pt>
              </c:numCache>
            </c:numRef>
          </c:val>
          <c:extLst>
            <c:ext xmlns:c16="http://schemas.microsoft.com/office/drawing/2014/chart" uri="{C3380CC4-5D6E-409C-BE32-E72D297353CC}">
              <c16:uniqueId val="{00000001-AD4D-491A-86C7-6FEA46FAEED0}"/>
            </c:ext>
          </c:extLst>
        </c:ser>
        <c:ser>
          <c:idx val="2"/>
          <c:order val="2"/>
          <c:tx>
            <c:strRef>
              <c:f>'Pivot table'!$D$37:$D$38</c:f>
              <c:strCache>
                <c:ptCount val="1"/>
                <c:pt idx="0">
                  <c:v>Medium Risk</c:v>
                </c:pt>
              </c:strCache>
            </c:strRef>
          </c:tx>
          <c:spPr>
            <a:solidFill>
              <a:schemeClr val="accent2"/>
            </a:solidFill>
            <a:ln>
              <a:noFill/>
            </a:ln>
            <a:effectLst/>
          </c:spPr>
          <c:invertIfNegative val="0"/>
          <c:cat>
            <c:strRef>
              <c:f>'Pivot table'!$A$39:$A$42</c:f>
              <c:strCache>
                <c:ptCount val="3"/>
                <c:pt idx="0">
                  <c:v>Short</c:v>
                </c:pt>
                <c:pt idx="1">
                  <c:v>Medium</c:v>
                </c:pt>
                <c:pt idx="2">
                  <c:v>Long</c:v>
                </c:pt>
              </c:strCache>
            </c:strRef>
          </c:cat>
          <c:val>
            <c:numRef>
              <c:f>'Pivot table'!$D$39:$D$42</c:f>
              <c:numCache>
                <c:formatCode>General</c:formatCode>
                <c:ptCount val="3"/>
                <c:pt idx="1">
                  <c:v>20</c:v>
                </c:pt>
                <c:pt idx="2">
                  <c:v>20</c:v>
                </c:pt>
              </c:numCache>
            </c:numRef>
          </c:val>
          <c:extLst>
            <c:ext xmlns:c16="http://schemas.microsoft.com/office/drawing/2014/chart" uri="{C3380CC4-5D6E-409C-BE32-E72D297353CC}">
              <c16:uniqueId val="{00000002-AD4D-491A-86C7-6FEA46FAEED0}"/>
            </c:ext>
          </c:extLst>
        </c:ser>
        <c:dLbls>
          <c:showLegendKey val="0"/>
          <c:showVal val="0"/>
          <c:showCatName val="0"/>
          <c:showSerName val="0"/>
          <c:showPercent val="0"/>
          <c:showBubbleSize val="0"/>
        </c:dLbls>
        <c:gapWidth val="150"/>
        <c:overlap val="100"/>
        <c:axId val="266512335"/>
        <c:axId val="266508015"/>
      </c:barChart>
      <c:catAx>
        <c:axId val="26651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508015"/>
        <c:crosses val="autoZero"/>
        <c:auto val="1"/>
        <c:lblAlgn val="ctr"/>
        <c:lblOffset val="100"/>
        <c:noMultiLvlLbl val="0"/>
      </c:catAx>
      <c:valAx>
        <c:axId val="26650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51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[German Credit Analysis.xlsx]Pivot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1" i="0" u="none" strike="noStrike" baseline="0"/>
              <a:t>Loan Purpose vs Credit Risk</a:t>
            </a:r>
            <a:endParaRPr lang="en-ZA"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table'!$B$54:$B$55</c:f>
              <c:strCache>
                <c:ptCount val="1"/>
                <c:pt idx="0">
                  <c:v>High Risk</c:v>
                </c:pt>
              </c:strCache>
            </c:strRef>
          </c:tx>
          <c:spPr>
            <a:solidFill>
              <a:srgbClr val="FF0000"/>
            </a:solidFill>
            <a:ln>
              <a:noFill/>
            </a:ln>
            <a:effectLst/>
          </c:spPr>
          <c:invertIfNegative val="0"/>
          <c:cat>
            <c:strRef>
              <c:f>'Pivot table'!$A$56:$A$64</c:f>
              <c:strCache>
                <c:ptCount val="8"/>
                <c:pt idx="0">
                  <c:v>Business</c:v>
                </c:pt>
                <c:pt idx="1">
                  <c:v>Car</c:v>
                </c:pt>
                <c:pt idx="2">
                  <c:v>Domestic appliances</c:v>
                </c:pt>
                <c:pt idx="3">
                  <c:v>Education</c:v>
                </c:pt>
                <c:pt idx="4">
                  <c:v>Furniture/Equipment</c:v>
                </c:pt>
                <c:pt idx="5">
                  <c:v>Radio/TV</c:v>
                </c:pt>
                <c:pt idx="6">
                  <c:v>Repairs</c:v>
                </c:pt>
                <c:pt idx="7">
                  <c:v>Vacation/Others</c:v>
                </c:pt>
              </c:strCache>
            </c:strRef>
          </c:cat>
          <c:val>
            <c:numRef>
              <c:f>'Pivot table'!$B$56:$B$64</c:f>
              <c:numCache>
                <c:formatCode>General</c:formatCode>
                <c:ptCount val="8"/>
                <c:pt idx="0">
                  <c:v>26</c:v>
                </c:pt>
                <c:pt idx="1">
                  <c:v>65</c:v>
                </c:pt>
                <c:pt idx="2">
                  <c:v>1</c:v>
                </c:pt>
                <c:pt idx="3">
                  <c:v>10</c:v>
                </c:pt>
                <c:pt idx="4">
                  <c:v>14</c:v>
                </c:pt>
                <c:pt idx="5">
                  <c:v>24</c:v>
                </c:pt>
                <c:pt idx="6">
                  <c:v>2</c:v>
                </c:pt>
                <c:pt idx="7">
                  <c:v>7</c:v>
                </c:pt>
              </c:numCache>
            </c:numRef>
          </c:val>
          <c:extLst>
            <c:ext xmlns:c16="http://schemas.microsoft.com/office/drawing/2014/chart" uri="{C3380CC4-5D6E-409C-BE32-E72D297353CC}">
              <c16:uniqueId val="{00000000-06BD-4A61-82CD-CA6CA96F9203}"/>
            </c:ext>
          </c:extLst>
        </c:ser>
        <c:ser>
          <c:idx val="1"/>
          <c:order val="1"/>
          <c:tx>
            <c:strRef>
              <c:f>'Pivot table'!$C$54:$C$55</c:f>
              <c:strCache>
                <c:ptCount val="1"/>
                <c:pt idx="0">
                  <c:v>Low Risk</c:v>
                </c:pt>
              </c:strCache>
            </c:strRef>
          </c:tx>
          <c:spPr>
            <a:solidFill>
              <a:srgbClr val="00B050"/>
            </a:solidFill>
            <a:ln>
              <a:noFill/>
            </a:ln>
            <a:effectLst/>
          </c:spPr>
          <c:invertIfNegative val="0"/>
          <c:cat>
            <c:strRef>
              <c:f>'Pivot table'!$A$56:$A$64</c:f>
              <c:strCache>
                <c:ptCount val="8"/>
                <c:pt idx="0">
                  <c:v>Business</c:v>
                </c:pt>
                <c:pt idx="1">
                  <c:v>Car</c:v>
                </c:pt>
                <c:pt idx="2">
                  <c:v>Domestic appliances</c:v>
                </c:pt>
                <c:pt idx="3">
                  <c:v>Education</c:v>
                </c:pt>
                <c:pt idx="4">
                  <c:v>Furniture/Equipment</c:v>
                </c:pt>
                <c:pt idx="5">
                  <c:v>Radio/TV</c:v>
                </c:pt>
                <c:pt idx="6">
                  <c:v>Repairs</c:v>
                </c:pt>
                <c:pt idx="7">
                  <c:v>Vacation/Others</c:v>
                </c:pt>
              </c:strCache>
            </c:strRef>
          </c:cat>
          <c:val>
            <c:numRef>
              <c:f>'Pivot table'!$C$56:$C$64</c:f>
              <c:numCache>
                <c:formatCode>General</c:formatCode>
                <c:ptCount val="8"/>
                <c:pt idx="0">
                  <c:v>63</c:v>
                </c:pt>
                <c:pt idx="1">
                  <c:v>259</c:v>
                </c:pt>
                <c:pt idx="2">
                  <c:v>11</c:v>
                </c:pt>
                <c:pt idx="3">
                  <c:v>48</c:v>
                </c:pt>
                <c:pt idx="4">
                  <c:v>160</c:v>
                </c:pt>
                <c:pt idx="5">
                  <c:v>246</c:v>
                </c:pt>
                <c:pt idx="6">
                  <c:v>19</c:v>
                </c:pt>
                <c:pt idx="7">
                  <c:v>5</c:v>
                </c:pt>
              </c:numCache>
            </c:numRef>
          </c:val>
          <c:extLst>
            <c:ext xmlns:c16="http://schemas.microsoft.com/office/drawing/2014/chart" uri="{C3380CC4-5D6E-409C-BE32-E72D297353CC}">
              <c16:uniqueId val="{00000001-06BD-4A61-82CD-CA6CA96F9203}"/>
            </c:ext>
          </c:extLst>
        </c:ser>
        <c:ser>
          <c:idx val="2"/>
          <c:order val="2"/>
          <c:tx>
            <c:strRef>
              <c:f>'Pivot table'!$D$54:$D$55</c:f>
              <c:strCache>
                <c:ptCount val="1"/>
                <c:pt idx="0">
                  <c:v>Medium Risk</c:v>
                </c:pt>
              </c:strCache>
            </c:strRef>
          </c:tx>
          <c:spPr>
            <a:solidFill>
              <a:schemeClr val="accent2"/>
            </a:solidFill>
            <a:ln>
              <a:noFill/>
            </a:ln>
            <a:effectLst/>
          </c:spPr>
          <c:invertIfNegative val="0"/>
          <c:cat>
            <c:strRef>
              <c:f>'Pivot table'!$A$56:$A$64</c:f>
              <c:strCache>
                <c:ptCount val="8"/>
                <c:pt idx="0">
                  <c:v>Business</c:v>
                </c:pt>
                <c:pt idx="1">
                  <c:v>Car</c:v>
                </c:pt>
                <c:pt idx="2">
                  <c:v>Domestic appliances</c:v>
                </c:pt>
                <c:pt idx="3">
                  <c:v>Education</c:v>
                </c:pt>
                <c:pt idx="4">
                  <c:v>Furniture/Equipment</c:v>
                </c:pt>
                <c:pt idx="5">
                  <c:v>Radio/TV</c:v>
                </c:pt>
                <c:pt idx="6">
                  <c:v>Repairs</c:v>
                </c:pt>
                <c:pt idx="7">
                  <c:v>Vacation/Others</c:v>
                </c:pt>
              </c:strCache>
            </c:strRef>
          </c:cat>
          <c:val>
            <c:numRef>
              <c:f>'Pivot table'!$D$56:$D$64</c:f>
              <c:numCache>
                <c:formatCode>General</c:formatCode>
                <c:ptCount val="8"/>
                <c:pt idx="0">
                  <c:v>8</c:v>
                </c:pt>
                <c:pt idx="1">
                  <c:v>13</c:v>
                </c:pt>
                <c:pt idx="3">
                  <c:v>1</c:v>
                </c:pt>
                <c:pt idx="4">
                  <c:v>7</c:v>
                </c:pt>
                <c:pt idx="5">
                  <c:v>10</c:v>
                </c:pt>
                <c:pt idx="6">
                  <c:v>1</c:v>
                </c:pt>
              </c:numCache>
            </c:numRef>
          </c:val>
          <c:extLst>
            <c:ext xmlns:c16="http://schemas.microsoft.com/office/drawing/2014/chart" uri="{C3380CC4-5D6E-409C-BE32-E72D297353CC}">
              <c16:uniqueId val="{00000002-06BD-4A61-82CD-CA6CA96F9203}"/>
            </c:ext>
          </c:extLst>
        </c:ser>
        <c:dLbls>
          <c:showLegendKey val="0"/>
          <c:showVal val="0"/>
          <c:showCatName val="0"/>
          <c:showSerName val="0"/>
          <c:showPercent val="0"/>
          <c:showBubbleSize val="0"/>
        </c:dLbls>
        <c:gapWidth val="182"/>
        <c:axId val="280052831"/>
        <c:axId val="280044671"/>
      </c:barChart>
      <c:catAx>
        <c:axId val="280052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044671"/>
        <c:crosses val="autoZero"/>
        <c:auto val="1"/>
        <c:lblAlgn val="ctr"/>
        <c:lblOffset val="100"/>
        <c:noMultiLvlLbl val="0"/>
      </c:catAx>
      <c:valAx>
        <c:axId val="280044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05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[German Credit Analysis.xlsx]Pivot table!PivotTable3</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1" i="0" u="none" strike="noStrike" baseline="0"/>
              <a:t>Customer Credit Risk Insights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rgbClr val="00B050"/>
          </a:solidFill>
          <a:ln w="19050">
            <a:solidFill>
              <a:schemeClr val="lt1"/>
            </a:solidFill>
          </a:ln>
          <a:effectLst/>
        </c:spPr>
      </c:pivotFmt>
    </c:pivotFmts>
    <c:plotArea>
      <c:layout/>
      <c:doughnutChart>
        <c:varyColors val="1"/>
        <c:ser>
          <c:idx val="0"/>
          <c:order val="0"/>
          <c:tx>
            <c:strRef>
              <c:f>'Pivot table'!$B$3</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3-DAC7-427A-8452-1448CC413BE0}"/>
              </c:ext>
            </c:extLst>
          </c:dPt>
          <c:dPt>
            <c:idx val="1"/>
            <c:bubble3D val="0"/>
            <c:spPr>
              <a:solidFill>
                <a:schemeClr val="accent2"/>
              </a:solidFill>
              <a:ln w="19050">
                <a:solidFill>
                  <a:schemeClr val="lt1"/>
                </a:solidFill>
              </a:ln>
              <a:effectLst/>
            </c:spPr>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2-DAC7-427A-8452-1448CC413BE0}"/>
              </c:ext>
            </c:extLst>
          </c:dPt>
          <c:cat>
            <c:strRef>
              <c:f>'Pivot table'!$A$4:$A$7</c:f>
              <c:strCache>
                <c:ptCount val="3"/>
                <c:pt idx="0">
                  <c:v>Low Risk</c:v>
                </c:pt>
                <c:pt idx="1">
                  <c:v>Medium Risk</c:v>
                </c:pt>
                <c:pt idx="2">
                  <c:v>High Risk</c:v>
                </c:pt>
              </c:strCache>
            </c:strRef>
          </c:cat>
          <c:val>
            <c:numRef>
              <c:f>'Pivot table'!$B$4:$B$7</c:f>
              <c:numCache>
                <c:formatCode>General</c:formatCode>
                <c:ptCount val="3"/>
                <c:pt idx="0">
                  <c:v>811</c:v>
                </c:pt>
                <c:pt idx="1">
                  <c:v>40</c:v>
                </c:pt>
                <c:pt idx="2">
                  <c:v>149</c:v>
                </c:pt>
              </c:numCache>
            </c:numRef>
          </c:val>
          <c:extLst>
            <c:ext xmlns:c16="http://schemas.microsoft.com/office/drawing/2014/chart" uri="{C3380CC4-5D6E-409C-BE32-E72D297353CC}">
              <c16:uniqueId val="{00000000-DAC7-427A-8452-1448CC413B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[German Credit Analysis.xlsx]Pivot table!PivotTable4</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1" i="0" u="none" strike="noStrike" baseline="0"/>
              <a:t>Credit Risk by Age Group</a:t>
            </a:r>
            <a:endParaRPr lang="en-ZA"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table'!$B$23:$B$24</c:f>
              <c:strCache>
                <c:ptCount val="1"/>
                <c:pt idx="0">
                  <c:v>Low Risk</c:v>
                </c:pt>
              </c:strCache>
            </c:strRef>
          </c:tx>
          <c:spPr>
            <a:solidFill>
              <a:srgbClr val="00B050"/>
            </a:solidFill>
            <a:ln>
              <a:noFill/>
            </a:ln>
            <a:effectLst/>
          </c:spPr>
          <c:invertIfNegative val="0"/>
          <c:cat>
            <c:strRef>
              <c:f>'Pivot table'!$A$25:$A$28</c:f>
              <c:strCache>
                <c:ptCount val="3"/>
                <c:pt idx="0">
                  <c:v>Adult</c:v>
                </c:pt>
                <c:pt idx="1">
                  <c:v>Senior</c:v>
                </c:pt>
                <c:pt idx="2">
                  <c:v>Young</c:v>
                </c:pt>
              </c:strCache>
            </c:strRef>
          </c:cat>
          <c:val>
            <c:numRef>
              <c:f>'Pivot table'!$B$25:$B$28</c:f>
              <c:numCache>
                <c:formatCode>General</c:formatCode>
                <c:ptCount val="3"/>
                <c:pt idx="0">
                  <c:v>94</c:v>
                </c:pt>
                <c:pt idx="1">
                  <c:v>414</c:v>
                </c:pt>
                <c:pt idx="2">
                  <c:v>303</c:v>
                </c:pt>
              </c:numCache>
            </c:numRef>
          </c:val>
          <c:extLst>
            <c:ext xmlns:c16="http://schemas.microsoft.com/office/drawing/2014/chart" uri="{C3380CC4-5D6E-409C-BE32-E72D297353CC}">
              <c16:uniqueId val="{00000000-B9CF-4796-9133-46CD32C866A8}"/>
            </c:ext>
          </c:extLst>
        </c:ser>
        <c:ser>
          <c:idx val="1"/>
          <c:order val="1"/>
          <c:tx>
            <c:strRef>
              <c:f>'Pivot table'!$C$23:$C$24</c:f>
              <c:strCache>
                <c:ptCount val="1"/>
                <c:pt idx="0">
                  <c:v>Medium Risk</c:v>
                </c:pt>
              </c:strCache>
            </c:strRef>
          </c:tx>
          <c:spPr>
            <a:solidFill>
              <a:schemeClr val="accent2"/>
            </a:solidFill>
            <a:ln>
              <a:noFill/>
            </a:ln>
            <a:effectLst/>
          </c:spPr>
          <c:invertIfNegative val="0"/>
          <c:cat>
            <c:strRef>
              <c:f>'Pivot table'!$A$25:$A$28</c:f>
              <c:strCache>
                <c:ptCount val="3"/>
                <c:pt idx="0">
                  <c:v>Adult</c:v>
                </c:pt>
                <c:pt idx="1">
                  <c:v>Senior</c:v>
                </c:pt>
                <c:pt idx="2">
                  <c:v>Young</c:v>
                </c:pt>
              </c:strCache>
            </c:strRef>
          </c:cat>
          <c:val>
            <c:numRef>
              <c:f>'Pivot table'!$C$25:$C$28</c:f>
              <c:numCache>
                <c:formatCode>General</c:formatCode>
                <c:ptCount val="3"/>
                <c:pt idx="1">
                  <c:v>22</c:v>
                </c:pt>
                <c:pt idx="2">
                  <c:v>18</c:v>
                </c:pt>
              </c:numCache>
            </c:numRef>
          </c:val>
          <c:extLst>
            <c:ext xmlns:c16="http://schemas.microsoft.com/office/drawing/2014/chart" uri="{C3380CC4-5D6E-409C-BE32-E72D297353CC}">
              <c16:uniqueId val="{00000001-B9CF-4796-9133-46CD32C866A8}"/>
            </c:ext>
          </c:extLst>
        </c:ser>
        <c:ser>
          <c:idx val="2"/>
          <c:order val="2"/>
          <c:tx>
            <c:strRef>
              <c:f>'Pivot table'!$D$23:$D$24</c:f>
              <c:strCache>
                <c:ptCount val="1"/>
                <c:pt idx="0">
                  <c:v>High Risk</c:v>
                </c:pt>
              </c:strCache>
            </c:strRef>
          </c:tx>
          <c:spPr>
            <a:solidFill>
              <a:srgbClr val="FF0000"/>
            </a:solidFill>
            <a:ln>
              <a:noFill/>
            </a:ln>
            <a:effectLst/>
          </c:spPr>
          <c:invertIfNegative val="0"/>
          <c:cat>
            <c:strRef>
              <c:f>'Pivot table'!$A$25:$A$28</c:f>
              <c:strCache>
                <c:ptCount val="3"/>
                <c:pt idx="0">
                  <c:v>Adult</c:v>
                </c:pt>
                <c:pt idx="1">
                  <c:v>Senior</c:v>
                </c:pt>
                <c:pt idx="2">
                  <c:v>Young</c:v>
                </c:pt>
              </c:strCache>
            </c:strRef>
          </c:cat>
          <c:val>
            <c:numRef>
              <c:f>'Pivot table'!$D$25:$D$28</c:f>
              <c:numCache>
                <c:formatCode>General</c:formatCode>
                <c:ptCount val="3"/>
                <c:pt idx="0">
                  <c:v>19</c:v>
                </c:pt>
                <c:pt idx="1">
                  <c:v>80</c:v>
                </c:pt>
                <c:pt idx="2">
                  <c:v>50</c:v>
                </c:pt>
              </c:numCache>
            </c:numRef>
          </c:val>
          <c:extLst>
            <c:ext xmlns:c16="http://schemas.microsoft.com/office/drawing/2014/chart" uri="{C3380CC4-5D6E-409C-BE32-E72D297353CC}">
              <c16:uniqueId val="{00000002-B9CF-4796-9133-46CD32C866A8}"/>
            </c:ext>
          </c:extLst>
        </c:ser>
        <c:dLbls>
          <c:showLegendKey val="0"/>
          <c:showVal val="0"/>
          <c:showCatName val="0"/>
          <c:showSerName val="0"/>
          <c:showPercent val="0"/>
          <c:showBubbleSize val="0"/>
        </c:dLbls>
        <c:gapWidth val="219"/>
        <c:overlap val="-27"/>
        <c:axId val="280007711"/>
        <c:axId val="280030751"/>
      </c:barChart>
      <c:catAx>
        <c:axId val="28000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030751"/>
        <c:crosses val="autoZero"/>
        <c:auto val="1"/>
        <c:lblAlgn val="ctr"/>
        <c:lblOffset val="100"/>
        <c:noMultiLvlLbl val="0"/>
      </c:catAx>
      <c:valAx>
        <c:axId val="28003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00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[German Credit Analysis.xlsx]Pivot table!PivotTable5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1" i="0" u="none" strike="noStrike" baseline="0"/>
              <a:t>Credit Risk by Loan Duration</a:t>
            </a:r>
            <a:endParaRPr lang="en-ZA"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table'!$B$37:$B$38</c:f>
              <c:strCache>
                <c:ptCount val="1"/>
                <c:pt idx="0">
                  <c:v>High Risk</c:v>
                </c:pt>
              </c:strCache>
            </c:strRef>
          </c:tx>
          <c:spPr>
            <a:solidFill>
              <a:srgbClr val="FF0000"/>
            </a:solidFill>
            <a:ln>
              <a:noFill/>
            </a:ln>
            <a:effectLst/>
          </c:spPr>
          <c:invertIfNegative val="0"/>
          <c:cat>
            <c:strRef>
              <c:f>'Pivot table'!$A$39:$A$42</c:f>
              <c:strCache>
                <c:ptCount val="3"/>
                <c:pt idx="0">
                  <c:v>Short</c:v>
                </c:pt>
                <c:pt idx="1">
                  <c:v>Medium</c:v>
                </c:pt>
                <c:pt idx="2">
                  <c:v>Long</c:v>
                </c:pt>
              </c:strCache>
            </c:strRef>
          </c:cat>
          <c:val>
            <c:numRef>
              <c:f>'Pivot table'!$B$39:$B$42</c:f>
              <c:numCache>
                <c:formatCode>General</c:formatCode>
                <c:ptCount val="3"/>
                <c:pt idx="0">
                  <c:v>4</c:v>
                </c:pt>
                <c:pt idx="1">
                  <c:v>30</c:v>
                </c:pt>
                <c:pt idx="2">
                  <c:v>115</c:v>
                </c:pt>
              </c:numCache>
            </c:numRef>
          </c:val>
          <c:extLst>
            <c:ext xmlns:c16="http://schemas.microsoft.com/office/drawing/2014/chart" uri="{C3380CC4-5D6E-409C-BE32-E72D297353CC}">
              <c16:uniqueId val="{00000000-7D66-489F-B19E-22651ECC33E3}"/>
            </c:ext>
          </c:extLst>
        </c:ser>
        <c:ser>
          <c:idx val="1"/>
          <c:order val="1"/>
          <c:tx>
            <c:strRef>
              <c:f>'Pivot table'!$C$37:$C$38</c:f>
              <c:strCache>
                <c:ptCount val="1"/>
                <c:pt idx="0">
                  <c:v>Low Risk</c:v>
                </c:pt>
              </c:strCache>
            </c:strRef>
          </c:tx>
          <c:spPr>
            <a:solidFill>
              <a:srgbClr val="00B050"/>
            </a:solidFill>
            <a:ln>
              <a:noFill/>
            </a:ln>
            <a:effectLst/>
          </c:spPr>
          <c:invertIfNegative val="0"/>
          <c:cat>
            <c:strRef>
              <c:f>'Pivot table'!$A$39:$A$42</c:f>
              <c:strCache>
                <c:ptCount val="3"/>
                <c:pt idx="0">
                  <c:v>Short</c:v>
                </c:pt>
                <c:pt idx="1">
                  <c:v>Medium</c:v>
                </c:pt>
                <c:pt idx="2">
                  <c:v>Long</c:v>
                </c:pt>
              </c:strCache>
            </c:strRef>
          </c:cat>
          <c:val>
            <c:numRef>
              <c:f>'Pivot table'!$C$39:$C$42</c:f>
              <c:numCache>
                <c:formatCode>General</c:formatCode>
                <c:ptCount val="3"/>
                <c:pt idx="0">
                  <c:v>176</c:v>
                </c:pt>
                <c:pt idx="1">
                  <c:v>600</c:v>
                </c:pt>
                <c:pt idx="2">
                  <c:v>35</c:v>
                </c:pt>
              </c:numCache>
            </c:numRef>
          </c:val>
          <c:extLst>
            <c:ext xmlns:c16="http://schemas.microsoft.com/office/drawing/2014/chart" uri="{C3380CC4-5D6E-409C-BE32-E72D297353CC}">
              <c16:uniqueId val="{00000001-7D66-489F-B19E-22651ECC33E3}"/>
            </c:ext>
          </c:extLst>
        </c:ser>
        <c:ser>
          <c:idx val="2"/>
          <c:order val="2"/>
          <c:tx>
            <c:strRef>
              <c:f>'Pivot table'!$D$37:$D$38</c:f>
              <c:strCache>
                <c:ptCount val="1"/>
                <c:pt idx="0">
                  <c:v>Medium Risk</c:v>
                </c:pt>
              </c:strCache>
            </c:strRef>
          </c:tx>
          <c:spPr>
            <a:solidFill>
              <a:schemeClr val="accent2"/>
            </a:solidFill>
            <a:ln>
              <a:noFill/>
            </a:ln>
            <a:effectLst/>
          </c:spPr>
          <c:invertIfNegative val="0"/>
          <c:cat>
            <c:strRef>
              <c:f>'Pivot table'!$A$39:$A$42</c:f>
              <c:strCache>
                <c:ptCount val="3"/>
                <c:pt idx="0">
                  <c:v>Short</c:v>
                </c:pt>
                <c:pt idx="1">
                  <c:v>Medium</c:v>
                </c:pt>
                <c:pt idx="2">
                  <c:v>Long</c:v>
                </c:pt>
              </c:strCache>
            </c:strRef>
          </c:cat>
          <c:val>
            <c:numRef>
              <c:f>'Pivot table'!$D$39:$D$42</c:f>
              <c:numCache>
                <c:formatCode>General</c:formatCode>
                <c:ptCount val="3"/>
                <c:pt idx="1">
                  <c:v>20</c:v>
                </c:pt>
                <c:pt idx="2">
                  <c:v>20</c:v>
                </c:pt>
              </c:numCache>
            </c:numRef>
          </c:val>
          <c:extLst>
            <c:ext xmlns:c16="http://schemas.microsoft.com/office/drawing/2014/chart" uri="{C3380CC4-5D6E-409C-BE32-E72D297353CC}">
              <c16:uniqueId val="{00000002-7D66-489F-B19E-22651ECC33E3}"/>
            </c:ext>
          </c:extLst>
        </c:ser>
        <c:dLbls>
          <c:showLegendKey val="0"/>
          <c:showVal val="0"/>
          <c:showCatName val="0"/>
          <c:showSerName val="0"/>
          <c:showPercent val="0"/>
          <c:showBubbleSize val="0"/>
        </c:dLbls>
        <c:gapWidth val="150"/>
        <c:overlap val="100"/>
        <c:axId val="266512335"/>
        <c:axId val="266508015"/>
      </c:barChart>
      <c:catAx>
        <c:axId val="26651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508015"/>
        <c:crosses val="autoZero"/>
        <c:auto val="1"/>
        <c:lblAlgn val="ctr"/>
        <c:lblOffset val="100"/>
        <c:noMultiLvlLbl val="0"/>
      </c:catAx>
      <c:valAx>
        <c:axId val="26650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51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[German Credit Analysis.xlsx]Pivot table!PivotTable1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1" i="0" u="none" strike="noStrike" baseline="0"/>
              <a:t>Credit Risk by Loan Purpose</a:t>
            </a:r>
            <a:endParaRPr lang="en-ZA"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table'!$B$54:$B$55</c:f>
              <c:strCache>
                <c:ptCount val="1"/>
                <c:pt idx="0">
                  <c:v>High Risk</c:v>
                </c:pt>
              </c:strCache>
            </c:strRef>
          </c:tx>
          <c:spPr>
            <a:solidFill>
              <a:srgbClr val="FF0000"/>
            </a:solidFill>
            <a:ln>
              <a:noFill/>
            </a:ln>
            <a:effectLst/>
          </c:spPr>
          <c:invertIfNegative val="0"/>
          <c:cat>
            <c:strRef>
              <c:f>'Pivot table'!$A$56:$A$64</c:f>
              <c:strCache>
                <c:ptCount val="8"/>
                <c:pt idx="0">
                  <c:v>Business</c:v>
                </c:pt>
                <c:pt idx="1">
                  <c:v>Car</c:v>
                </c:pt>
                <c:pt idx="2">
                  <c:v>Domestic appliances</c:v>
                </c:pt>
                <c:pt idx="3">
                  <c:v>Education</c:v>
                </c:pt>
                <c:pt idx="4">
                  <c:v>Furniture/Equipment</c:v>
                </c:pt>
                <c:pt idx="5">
                  <c:v>Radio/TV</c:v>
                </c:pt>
                <c:pt idx="6">
                  <c:v>Repairs</c:v>
                </c:pt>
                <c:pt idx="7">
                  <c:v>Vacation/Others</c:v>
                </c:pt>
              </c:strCache>
            </c:strRef>
          </c:cat>
          <c:val>
            <c:numRef>
              <c:f>'Pivot table'!$B$56:$B$64</c:f>
              <c:numCache>
                <c:formatCode>General</c:formatCode>
                <c:ptCount val="8"/>
                <c:pt idx="0">
                  <c:v>26</c:v>
                </c:pt>
                <c:pt idx="1">
                  <c:v>65</c:v>
                </c:pt>
                <c:pt idx="2">
                  <c:v>1</c:v>
                </c:pt>
                <c:pt idx="3">
                  <c:v>10</c:v>
                </c:pt>
                <c:pt idx="4">
                  <c:v>14</c:v>
                </c:pt>
                <c:pt idx="5">
                  <c:v>24</c:v>
                </c:pt>
                <c:pt idx="6">
                  <c:v>2</c:v>
                </c:pt>
                <c:pt idx="7">
                  <c:v>7</c:v>
                </c:pt>
              </c:numCache>
            </c:numRef>
          </c:val>
          <c:extLst>
            <c:ext xmlns:c16="http://schemas.microsoft.com/office/drawing/2014/chart" uri="{C3380CC4-5D6E-409C-BE32-E72D297353CC}">
              <c16:uniqueId val="{00000000-57BF-42E3-95D4-2A4EC9C236E2}"/>
            </c:ext>
          </c:extLst>
        </c:ser>
        <c:ser>
          <c:idx val="1"/>
          <c:order val="1"/>
          <c:tx>
            <c:strRef>
              <c:f>'Pivot table'!$C$54:$C$55</c:f>
              <c:strCache>
                <c:ptCount val="1"/>
                <c:pt idx="0">
                  <c:v>Low Risk</c:v>
                </c:pt>
              </c:strCache>
            </c:strRef>
          </c:tx>
          <c:spPr>
            <a:solidFill>
              <a:srgbClr val="00B050"/>
            </a:solidFill>
            <a:ln>
              <a:noFill/>
            </a:ln>
            <a:effectLst/>
          </c:spPr>
          <c:invertIfNegative val="0"/>
          <c:cat>
            <c:strRef>
              <c:f>'Pivot table'!$A$56:$A$64</c:f>
              <c:strCache>
                <c:ptCount val="8"/>
                <c:pt idx="0">
                  <c:v>Business</c:v>
                </c:pt>
                <c:pt idx="1">
                  <c:v>Car</c:v>
                </c:pt>
                <c:pt idx="2">
                  <c:v>Domestic appliances</c:v>
                </c:pt>
                <c:pt idx="3">
                  <c:v>Education</c:v>
                </c:pt>
                <c:pt idx="4">
                  <c:v>Furniture/Equipment</c:v>
                </c:pt>
                <c:pt idx="5">
                  <c:v>Radio/TV</c:v>
                </c:pt>
                <c:pt idx="6">
                  <c:v>Repairs</c:v>
                </c:pt>
                <c:pt idx="7">
                  <c:v>Vacation/Others</c:v>
                </c:pt>
              </c:strCache>
            </c:strRef>
          </c:cat>
          <c:val>
            <c:numRef>
              <c:f>'Pivot table'!$C$56:$C$64</c:f>
              <c:numCache>
                <c:formatCode>General</c:formatCode>
                <c:ptCount val="8"/>
                <c:pt idx="0">
                  <c:v>63</c:v>
                </c:pt>
                <c:pt idx="1">
                  <c:v>259</c:v>
                </c:pt>
                <c:pt idx="2">
                  <c:v>11</c:v>
                </c:pt>
                <c:pt idx="3">
                  <c:v>48</c:v>
                </c:pt>
                <c:pt idx="4">
                  <c:v>160</c:v>
                </c:pt>
                <c:pt idx="5">
                  <c:v>246</c:v>
                </c:pt>
                <c:pt idx="6">
                  <c:v>19</c:v>
                </c:pt>
                <c:pt idx="7">
                  <c:v>5</c:v>
                </c:pt>
              </c:numCache>
            </c:numRef>
          </c:val>
          <c:extLst>
            <c:ext xmlns:c16="http://schemas.microsoft.com/office/drawing/2014/chart" uri="{C3380CC4-5D6E-409C-BE32-E72D297353CC}">
              <c16:uniqueId val="{00000001-57BF-42E3-95D4-2A4EC9C236E2}"/>
            </c:ext>
          </c:extLst>
        </c:ser>
        <c:ser>
          <c:idx val="2"/>
          <c:order val="2"/>
          <c:tx>
            <c:strRef>
              <c:f>'Pivot table'!$D$54:$D$55</c:f>
              <c:strCache>
                <c:ptCount val="1"/>
                <c:pt idx="0">
                  <c:v>Medium Risk</c:v>
                </c:pt>
              </c:strCache>
            </c:strRef>
          </c:tx>
          <c:spPr>
            <a:solidFill>
              <a:schemeClr val="accent2"/>
            </a:solidFill>
            <a:ln>
              <a:noFill/>
            </a:ln>
            <a:effectLst/>
          </c:spPr>
          <c:invertIfNegative val="0"/>
          <c:cat>
            <c:strRef>
              <c:f>'Pivot table'!$A$56:$A$64</c:f>
              <c:strCache>
                <c:ptCount val="8"/>
                <c:pt idx="0">
                  <c:v>Business</c:v>
                </c:pt>
                <c:pt idx="1">
                  <c:v>Car</c:v>
                </c:pt>
                <c:pt idx="2">
                  <c:v>Domestic appliances</c:v>
                </c:pt>
                <c:pt idx="3">
                  <c:v>Education</c:v>
                </c:pt>
                <c:pt idx="4">
                  <c:v>Furniture/Equipment</c:v>
                </c:pt>
                <c:pt idx="5">
                  <c:v>Radio/TV</c:v>
                </c:pt>
                <c:pt idx="6">
                  <c:v>Repairs</c:v>
                </c:pt>
                <c:pt idx="7">
                  <c:v>Vacation/Others</c:v>
                </c:pt>
              </c:strCache>
            </c:strRef>
          </c:cat>
          <c:val>
            <c:numRef>
              <c:f>'Pivot table'!$D$56:$D$64</c:f>
              <c:numCache>
                <c:formatCode>General</c:formatCode>
                <c:ptCount val="8"/>
                <c:pt idx="0">
                  <c:v>8</c:v>
                </c:pt>
                <c:pt idx="1">
                  <c:v>13</c:v>
                </c:pt>
                <c:pt idx="3">
                  <c:v>1</c:v>
                </c:pt>
                <c:pt idx="4">
                  <c:v>7</c:v>
                </c:pt>
                <c:pt idx="5">
                  <c:v>10</c:v>
                </c:pt>
                <c:pt idx="6">
                  <c:v>1</c:v>
                </c:pt>
              </c:numCache>
            </c:numRef>
          </c:val>
          <c:extLst>
            <c:ext xmlns:c16="http://schemas.microsoft.com/office/drawing/2014/chart" uri="{C3380CC4-5D6E-409C-BE32-E72D297353CC}">
              <c16:uniqueId val="{00000002-57BF-42E3-95D4-2A4EC9C236E2}"/>
            </c:ext>
          </c:extLst>
        </c:ser>
        <c:dLbls>
          <c:showLegendKey val="0"/>
          <c:showVal val="0"/>
          <c:showCatName val="0"/>
          <c:showSerName val="0"/>
          <c:showPercent val="0"/>
          <c:showBubbleSize val="0"/>
        </c:dLbls>
        <c:gapWidth val="182"/>
        <c:axId val="280052831"/>
        <c:axId val="280044671"/>
      </c:barChart>
      <c:catAx>
        <c:axId val="280052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044671"/>
        <c:crosses val="autoZero"/>
        <c:auto val="1"/>
        <c:lblAlgn val="ctr"/>
        <c:lblOffset val="100"/>
        <c:noMultiLvlLbl val="0"/>
      </c:catAx>
      <c:valAx>
        <c:axId val="280044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05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[German Credit Analysis.xlsx]Pivot table!PivotTable3</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1" i="0" u="none" strike="noStrike" baseline="0"/>
              <a:t>Customer Credit Risk Insights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rgbClr val="00B05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FF0000"/>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FF0000"/>
          </a:solidFill>
          <a:ln w="19050">
            <a:solidFill>
              <a:schemeClr val="lt1"/>
            </a:solidFill>
          </a:ln>
          <a:effectLst/>
        </c:spPr>
      </c:pivotFmt>
    </c:pivotFmts>
    <c:plotArea>
      <c:layout/>
      <c:doughnutChart>
        <c:varyColors val="1"/>
        <c:ser>
          <c:idx val="0"/>
          <c:order val="0"/>
          <c:tx>
            <c:strRef>
              <c:f>'Pivot table'!$B$3</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1233-41EE-B677-434BE1001F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33-41EE-B677-434BE1001FFD}"/>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1233-41EE-B677-434BE1001FFD}"/>
              </c:ext>
            </c:extLst>
          </c:dPt>
          <c:cat>
            <c:strRef>
              <c:f>'Pivot table'!$A$4:$A$7</c:f>
              <c:strCache>
                <c:ptCount val="3"/>
                <c:pt idx="0">
                  <c:v>Low Risk</c:v>
                </c:pt>
                <c:pt idx="1">
                  <c:v>Medium Risk</c:v>
                </c:pt>
                <c:pt idx="2">
                  <c:v>High Risk</c:v>
                </c:pt>
              </c:strCache>
            </c:strRef>
          </c:cat>
          <c:val>
            <c:numRef>
              <c:f>'Pivot table'!$B$4:$B$7</c:f>
              <c:numCache>
                <c:formatCode>General</c:formatCode>
                <c:ptCount val="3"/>
                <c:pt idx="0">
                  <c:v>811</c:v>
                </c:pt>
                <c:pt idx="1">
                  <c:v>40</c:v>
                </c:pt>
                <c:pt idx="2">
                  <c:v>149</c:v>
                </c:pt>
              </c:numCache>
            </c:numRef>
          </c:val>
          <c:extLst>
            <c:ext xmlns:c16="http://schemas.microsoft.com/office/drawing/2014/chart" uri="{C3380CC4-5D6E-409C-BE32-E72D297353CC}">
              <c16:uniqueId val="{00000006-1233-41EE-B677-434BE1001FF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601980</xdr:colOff>
      <xdr:row>17</xdr:row>
      <xdr:rowOff>30480</xdr:rowOff>
    </xdr:from>
    <xdr:to>
      <xdr:col>13</xdr:col>
      <xdr:colOff>579120</xdr:colOff>
      <xdr:row>31</xdr:row>
      <xdr:rowOff>171450</xdr:rowOff>
    </xdr:to>
    <xdr:graphicFrame macro="">
      <xdr:nvGraphicFramePr>
        <xdr:cNvPr id="6" name="Chart 5">
          <a:extLst>
            <a:ext uri="{FF2B5EF4-FFF2-40B4-BE49-F238E27FC236}">
              <a16:creationId xmlns:a16="http://schemas.microsoft.com/office/drawing/2014/main" id="{C64E442D-D71D-A268-F6EB-59526767C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22860</xdr:colOff>
      <xdr:row>34</xdr:row>
      <xdr:rowOff>53340</xdr:rowOff>
    </xdr:from>
    <xdr:to>
      <xdr:col>13</xdr:col>
      <xdr:colOff>586740</xdr:colOff>
      <xdr:row>49</xdr:row>
      <xdr:rowOff>26670</xdr:rowOff>
    </xdr:to>
    <xdr:graphicFrame macro="">
      <xdr:nvGraphicFramePr>
        <xdr:cNvPr id="7" name="Chart 6">
          <a:extLst>
            <a:ext uri="{FF2B5EF4-FFF2-40B4-BE49-F238E27FC236}">
              <a16:creationId xmlns:a16="http://schemas.microsoft.com/office/drawing/2014/main" id="{715DCA38-68B9-106E-71C7-E69017AFE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571500</xdr:colOff>
      <xdr:row>49</xdr:row>
      <xdr:rowOff>175260</xdr:rowOff>
    </xdr:from>
    <xdr:to>
      <xdr:col>14</xdr:col>
      <xdr:colOff>0</xdr:colOff>
      <xdr:row>65</xdr:row>
      <xdr:rowOff>140970</xdr:rowOff>
    </xdr:to>
    <xdr:graphicFrame macro="">
      <xdr:nvGraphicFramePr>
        <xdr:cNvPr id="8" name="Chart 7">
          <a:extLst>
            <a:ext uri="{FF2B5EF4-FFF2-40B4-BE49-F238E27FC236}">
              <a16:creationId xmlns:a16="http://schemas.microsoft.com/office/drawing/2014/main" id="{794A6978-DE68-63A7-7F6F-719E1E06A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601980</xdr:colOff>
      <xdr:row>1</xdr:row>
      <xdr:rowOff>118110</xdr:rowOff>
    </xdr:from>
    <xdr:to>
      <xdr:col>13</xdr:col>
      <xdr:colOff>579120</xdr:colOff>
      <xdr:row>14</xdr:row>
      <xdr:rowOff>175260</xdr:rowOff>
    </xdr:to>
    <xdr:graphicFrame macro="">
      <xdr:nvGraphicFramePr>
        <xdr:cNvPr id="3" name="Chart 2">
          <a:extLst>
            <a:ext uri="{FF2B5EF4-FFF2-40B4-BE49-F238E27FC236}">
              <a16:creationId xmlns:a16="http://schemas.microsoft.com/office/drawing/2014/main" id="{225771E5-707A-5D99-E709-327C6DBEFD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274320</xdr:colOff>
      <xdr:row>7</xdr:row>
      <xdr:rowOff>0</xdr:rowOff>
    </xdr:from>
    <xdr:to>
      <xdr:col>12</xdr:col>
      <xdr:colOff>441960</xdr:colOff>
      <xdr:row>9</xdr:row>
      <xdr:rowOff>152400</xdr:rowOff>
    </xdr:to>
    <xdr:sp macro="" textlink="'KPI '!B6">
      <xdr:nvSpPr>
        <xdr:cNvPr id="10" name="Rectangle: Rounded Corners 9">
          <a:extLst>
            <a:ext uri="{FF2B5EF4-FFF2-40B4-BE49-F238E27FC236}">
              <a16:creationId xmlns:a16="http://schemas.microsoft.com/office/drawing/2014/main" id="{1C98679B-8B73-45CE-9B72-032C324B5D26}"/>
            </a:ext>
          </a:extLst>
        </xdr:cNvPr>
        <xdr:cNvSpPr/>
      </xdr:nvSpPr>
      <xdr:spPr>
        <a:xfrm>
          <a:off x="6370320" y="1287780"/>
          <a:ext cx="1386840" cy="51816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779586F-5BFC-49D6-AF0D-3DEF4F344ED2}" type="TxLink">
            <a:rPr lang="en-US" sz="1100" b="1" i="0" u="none" strike="noStrike">
              <a:solidFill>
                <a:srgbClr val="000000"/>
              </a:solidFill>
              <a:latin typeface="Aptos Narrow"/>
            </a:rPr>
            <a:pPr algn="ctr"/>
            <a:t>3271258</a:t>
          </a:fld>
          <a:endParaRPr lang="en-ZA" sz="1100"/>
        </a:p>
      </xdr:txBody>
    </xdr:sp>
    <xdr:clientData/>
  </xdr:twoCellAnchor>
  <xdr:twoCellAnchor>
    <xdr:from>
      <xdr:col>7</xdr:col>
      <xdr:colOff>518160</xdr:colOff>
      <xdr:row>6</xdr:row>
      <xdr:rowOff>167640</xdr:rowOff>
    </xdr:from>
    <xdr:to>
      <xdr:col>10</xdr:col>
      <xdr:colOff>76200</xdr:colOff>
      <xdr:row>9</xdr:row>
      <xdr:rowOff>137160</xdr:rowOff>
    </xdr:to>
    <xdr:sp macro="" textlink="'KPI '!B5">
      <xdr:nvSpPr>
        <xdr:cNvPr id="11" name="Rectangle: Rounded Corners 10">
          <a:extLst>
            <a:ext uri="{FF2B5EF4-FFF2-40B4-BE49-F238E27FC236}">
              <a16:creationId xmlns:a16="http://schemas.microsoft.com/office/drawing/2014/main" id="{D8A05C24-F735-41E4-90A1-7E1301BC6955}"/>
            </a:ext>
          </a:extLst>
        </xdr:cNvPr>
        <xdr:cNvSpPr/>
      </xdr:nvSpPr>
      <xdr:spPr>
        <a:xfrm>
          <a:off x="4785360" y="1272540"/>
          <a:ext cx="1386840" cy="51816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1181D2F-36A4-4BEF-9224-91C986D10686}" type="TxLink">
            <a:rPr lang="en-US" sz="1100" b="1" i="0" u="none" strike="noStrike">
              <a:solidFill>
                <a:srgbClr val="000000"/>
              </a:solidFill>
              <a:latin typeface="Aptos Narrow"/>
            </a:rPr>
            <a:pPr algn="ctr"/>
            <a:t>1000</a:t>
          </a:fld>
          <a:endParaRPr lang="en-ZA" sz="1100"/>
        </a:p>
      </xdr:txBody>
    </xdr:sp>
    <xdr:clientData/>
  </xdr:twoCellAnchor>
  <xdr:twoCellAnchor>
    <xdr:from>
      <xdr:col>5</xdr:col>
      <xdr:colOff>228600</xdr:colOff>
      <xdr:row>6</xdr:row>
      <xdr:rowOff>167640</xdr:rowOff>
    </xdr:from>
    <xdr:to>
      <xdr:col>7</xdr:col>
      <xdr:colOff>396240</xdr:colOff>
      <xdr:row>9</xdr:row>
      <xdr:rowOff>137160</xdr:rowOff>
    </xdr:to>
    <xdr:sp macro="" textlink="'KPI '!B4">
      <xdr:nvSpPr>
        <xdr:cNvPr id="12" name="Rectangle: Rounded Corners 11">
          <a:extLst>
            <a:ext uri="{FF2B5EF4-FFF2-40B4-BE49-F238E27FC236}">
              <a16:creationId xmlns:a16="http://schemas.microsoft.com/office/drawing/2014/main" id="{AB80C561-D960-465C-9BFF-4BFF1E2391A7}"/>
            </a:ext>
          </a:extLst>
        </xdr:cNvPr>
        <xdr:cNvSpPr/>
      </xdr:nvSpPr>
      <xdr:spPr>
        <a:xfrm>
          <a:off x="3276600" y="1272540"/>
          <a:ext cx="1386840" cy="51816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07FC055-8F17-4276-822B-6D41ADCE2CA0}" type="TxLink">
            <a:rPr lang="en-US" sz="1100" b="1" i="0" u="none" strike="noStrike">
              <a:solidFill>
                <a:srgbClr val="000000"/>
              </a:solidFill>
              <a:latin typeface="Aptos Narrow"/>
            </a:rPr>
            <a:pPr algn="ctr"/>
            <a:t>1000</a:t>
          </a:fld>
          <a:endParaRPr lang="en-ZA" sz="1100"/>
        </a:p>
      </xdr:txBody>
    </xdr:sp>
    <xdr:clientData/>
  </xdr:twoCellAnchor>
  <xdr:oneCellAnchor>
    <xdr:from>
      <xdr:col>5</xdr:col>
      <xdr:colOff>327660</xdr:colOff>
      <xdr:row>6</xdr:row>
      <xdr:rowOff>160020</xdr:rowOff>
    </xdr:from>
    <xdr:ext cx="1231043" cy="280205"/>
    <xdr:sp macro="" textlink="">
      <xdr:nvSpPr>
        <xdr:cNvPr id="13" name="TextBox 12">
          <a:extLst>
            <a:ext uri="{FF2B5EF4-FFF2-40B4-BE49-F238E27FC236}">
              <a16:creationId xmlns:a16="http://schemas.microsoft.com/office/drawing/2014/main" id="{B1CAF659-38CC-6B11-232E-7A834C01B3F8}"/>
            </a:ext>
          </a:extLst>
        </xdr:cNvPr>
        <xdr:cNvSpPr txBox="1"/>
      </xdr:nvSpPr>
      <xdr:spPr>
        <a:xfrm>
          <a:off x="3375660" y="1264920"/>
          <a:ext cx="123104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ZA" sz="1200" b="1"/>
            <a:t>Total Customers</a:t>
          </a:r>
        </a:p>
      </xdr:txBody>
    </xdr:sp>
    <xdr:clientData/>
  </xdr:oneCellAnchor>
  <xdr:oneCellAnchor>
    <xdr:from>
      <xdr:col>7</xdr:col>
      <xdr:colOff>563880</xdr:colOff>
      <xdr:row>6</xdr:row>
      <xdr:rowOff>167640</xdr:rowOff>
    </xdr:from>
    <xdr:ext cx="1261114" cy="264560"/>
    <xdr:sp macro="" textlink="">
      <xdr:nvSpPr>
        <xdr:cNvPr id="14" name="TextBox 13">
          <a:extLst>
            <a:ext uri="{FF2B5EF4-FFF2-40B4-BE49-F238E27FC236}">
              <a16:creationId xmlns:a16="http://schemas.microsoft.com/office/drawing/2014/main" id="{D4CE96BB-3FF6-8DCC-9337-E7636D3ABC68}"/>
            </a:ext>
          </a:extLst>
        </xdr:cNvPr>
        <xdr:cNvSpPr txBox="1"/>
      </xdr:nvSpPr>
      <xdr:spPr>
        <a:xfrm>
          <a:off x="4831080" y="1272540"/>
          <a:ext cx="12611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ZA" sz="1100" b="1"/>
            <a:t>Total Loans Issued</a:t>
          </a:r>
        </a:p>
      </xdr:txBody>
    </xdr:sp>
    <xdr:clientData/>
  </xdr:oneCellAnchor>
  <xdr:oneCellAnchor>
    <xdr:from>
      <xdr:col>12</xdr:col>
      <xdr:colOff>15240</xdr:colOff>
      <xdr:row>14</xdr:row>
      <xdr:rowOff>91440</xdr:rowOff>
    </xdr:from>
    <xdr:ext cx="184731" cy="264560"/>
    <xdr:sp macro="" textlink="">
      <xdr:nvSpPr>
        <xdr:cNvPr id="15" name="TextBox 14">
          <a:extLst>
            <a:ext uri="{FF2B5EF4-FFF2-40B4-BE49-F238E27FC236}">
              <a16:creationId xmlns:a16="http://schemas.microsoft.com/office/drawing/2014/main" id="{CE39E71A-09D1-BBDE-908D-DBF1A180D6E1}"/>
            </a:ext>
          </a:extLst>
        </xdr:cNvPr>
        <xdr:cNvSpPr txBox="1"/>
      </xdr:nvSpPr>
      <xdr:spPr>
        <a:xfrm>
          <a:off x="7330440" y="2659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ZA" sz="1100"/>
        </a:p>
      </xdr:txBody>
    </xdr:sp>
    <xdr:clientData/>
  </xdr:oneCellAnchor>
  <xdr:oneCellAnchor>
    <xdr:from>
      <xdr:col>10</xdr:col>
      <xdr:colOff>371841</xdr:colOff>
      <xdr:row>7</xdr:row>
      <xdr:rowOff>0</xdr:rowOff>
    </xdr:from>
    <xdr:ext cx="1233223" cy="279800"/>
    <xdr:sp macro="" textlink="">
      <xdr:nvSpPr>
        <xdr:cNvPr id="6" name="TextBox 5">
          <a:extLst>
            <a:ext uri="{FF2B5EF4-FFF2-40B4-BE49-F238E27FC236}">
              <a16:creationId xmlns:a16="http://schemas.microsoft.com/office/drawing/2014/main" id="{9CB95201-AFB4-4460-C0F0-6878FCD451BC}"/>
            </a:ext>
          </a:extLst>
        </xdr:cNvPr>
        <xdr:cNvSpPr txBox="1"/>
      </xdr:nvSpPr>
      <xdr:spPr>
        <a:xfrm>
          <a:off x="6451628" y="1313234"/>
          <a:ext cx="1233223" cy="279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ZA" sz="1100" b="1"/>
            <a:t>Total Loan Amount</a:t>
          </a:r>
        </a:p>
      </xdr:txBody>
    </xdr:sp>
    <xdr:clientData/>
  </xdr:oneCellAnchor>
  <xdr:twoCellAnchor>
    <xdr:from>
      <xdr:col>11</xdr:col>
      <xdr:colOff>563880</xdr:colOff>
      <xdr:row>12</xdr:row>
      <xdr:rowOff>167640</xdr:rowOff>
    </xdr:from>
    <xdr:to>
      <xdr:col>18</xdr:col>
      <xdr:colOff>411240</xdr:colOff>
      <xdr:row>27</xdr:row>
      <xdr:rowOff>160440</xdr:rowOff>
    </xdr:to>
    <xdr:graphicFrame macro="">
      <xdr:nvGraphicFramePr>
        <xdr:cNvPr id="8" name="Chart 7">
          <a:extLst>
            <a:ext uri="{FF2B5EF4-FFF2-40B4-BE49-F238E27FC236}">
              <a16:creationId xmlns:a16="http://schemas.microsoft.com/office/drawing/2014/main" id="{1A69EF70-E4DB-4C4A-A29D-6AB5A1DC4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556260</xdr:colOff>
      <xdr:row>27</xdr:row>
      <xdr:rowOff>152400</xdr:rowOff>
    </xdr:from>
    <xdr:to>
      <xdr:col>12</xdr:col>
      <xdr:colOff>37860</xdr:colOff>
      <xdr:row>42</xdr:row>
      <xdr:rowOff>145200</xdr:rowOff>
    </xdr:to>
    <xdr:graphicFrame macro="">
      <xdr:nvGraphicFramePr>
        <xdr:cNvPr id="16" name="Chart 15">
          <a:extLst>
            <a:ext uri="{FF2B5EF4-FFF2-40B4-BE49-F238E27FC236}">
              <a16:creationId xmlns:a16="http://schemas.microsoft.com/office/drawing/2014/main" id="{55CE758F-1FDD-40BD-BF1F-A4EF1E13C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594360</xdr:colOff>
      <xdr:row>27</xdr:row>
      <xdr:rowOff>175260</xdr:rowOff>
    </xdr:from>
    <xdr:to>
      <xdr:col>18</xdr:col>
      <xdr:colOff>441720</xdr:colOff>
      <xdr:row>42</xdr:row>
      <xdr:rowOff>168060</xdr:rowOff>
    </xdr:to>
    <xdr:graphicFrame macro="">
      <xdr:nvGraphicFramePr>
        <xdr:cNvPr id="17" name="Chart 16">
          <a:extLst>
            <a:ext uri="{FF2B5EF4-FFF2-40B4-BE49-F238E27FC236}">
              <a16:creationId xmlns:a16="http://schemas.microsoft.com/office/drawing/2014/main" id="{0B3CAFEA-552D-465E-83E6-2F7EEFD7B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541020</xdr:colOff>
      <xdr:row>12</xdr:row>
      <xdr:rowOff>175260</xdr:rowOff>
    </xdr:from>
    <xdr:to>
      <xdr:col>12</xdr:col>
      <xdr:colOff>22620</xdr:colOff>
      <xdr:row>27</xdr:row>
      <xdr:rowOff>168060</xdr:rowOff>
    </xdr:to>
    <xdr:graphicFrame macro="">
      <xdr:nvGraphicFramePr>
        <xdr:cNvPr id="18" name="Chart 17">
          <a:extLst>
            <a:ext uri="{FF2B5EF4-FFF2-40B4-BE49-F238E27FC236}">
              <a16:creationId xmlns:a16="http://schemas.microsoft.com/office/drawing/2014/main" id="{DD94EA51-B115-464D-80CC-FD4F7A9E8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15240</xdr:colOff>
      <xdr:row>7</xdr:row>
      <xdr:rowOff>144781</xdr:rowOff>
    </xdr:from>
    <xdr:to>
      <xdr:col>3</xdr:col>
      <xdr:colOff>30480</xdr:colOff>
      <xdr:row>14</xdr:row>
      <xdr:rowOff>30480</xdr:rowOff>
    </xdr:to>
    <mc:AlternateContent xmlns:mc="http://schemas.openxmlformats.org/markup-compatibility/2006">
      <mc:Choice xmlns:a14="http://schemas.microsoft.com/office/drawing/2010/main" Requires="a14">
        <xdr:graphicFrame macro="">
          <xdr:nvGraphicFramePr>
            <xdr:cNvPr id="19" name="Risk ">
              <a:extLst>
                <a:ext uri="{FF2B5EF4-FFF2-40B4-BE49-F238E27FC236}">
                  <a16:creationId xmlns:a16="http://schemas.microsoft.com/office/drawing/2014/main" id="{E24B7951-6170-7F77-B4CA-5B0107633B3E}"/>
                </a:ext>
              </a:extLst>
            </xdr:cNvPr>
            <xdr:cNvGraphicFramePr/>
          </xdr:nvGraphicFramePr>
          <xdr:xfrm>
            <a:off x="0" y="0"/>
            <a:ext cx="0" cy="0"/>
          </xdr:xfrm>
          <a:graphic>
            <a:graphicData uri="http://schemas.microsoft.com/office/drawing/2010/slicer">
              <sle:slicer xmlns:sle="http://schemas.microsoft.com/office/drawing/2010/slicer" name="Risk "/>
            </a:graphicData>
          </a:graphic>
        </xdr:graphicFrame>
      </mc:Choice>
      <mc:Fallback>
        <xdr:sp macro="" textlink="">
          <xdr:nvSpPr>
            <xdr:cNvPr id="0" name=""/>
            <xdr:cNvSpPr>
              <a:spLocks noTextEdit="1"/>
            </xdr:cNvSpPr>
          </xdr:nvSpPr>
          <xdr:spPr>
            <a:xfrm>
              <a:off x="15240" y="1458015"/>
              <a:ext cx="1839176" cy="119082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14</xdr:row>
      <xdr:rowOff>121921</xdr:rowOff>
    </xdr:from>
    <xdr:to>
      <xdr:col>3</xdr:col>
      <xdr:colOff>22860</xdr:colOff>
      <xdr:row>21</xdr:row>
      <xdr:rowOff>22861</xdr:rowOff>
    </xdr:to>
    <mc:AlternateContent xmlns:mc="http://schemas.openxmlformats.org/markup-compatibility/2006">
      <mc:Choice xmlns:a14="http://schemas.microsoft.com/office/drawing/2010/main" Requires="a14">
        <xdr:graphicFrame macro="">
          <xdr:nvGraphicFramePr>
            <xdr:cNvPr id="20" name="Age Group">
              <a:extLst>
                <a:ext uri="{FF2B5EF4-FFF2-40B4-BE49-F238E27FC236}">
                  <a16:creationId xmlns:a16="http://schemas.microsoft.com/office/drawing/2014/main" id="{2593F9FE-B6E7-0946-C5A1-C17BDB89F9A0}"/>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38100" y="2740283"/>
              <a:ext cx="1808696" cy="120606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21</xdr:row>
      <xdr:rowOff>114301</xdr:rowOff>
    </xdr:from>
    <xdr:to>
      <xdr:col>3</xdr:col>
      <xdr:colOff>22860</xdr:colOff>
      <xdr:row>28</xdr:row>
      <xdr:rowOff>38101</xdr:rowOff>
    </xdr:to>
    <mc:AlternateContent xmlns:mc="http://schemas.openxmlformats.org/markup-compatibility/2006">
      <mc:Choice xmlns:a14="http://schemas.microsoft.com/office/drawing/2010/main" Requires="a14">
        <xdr:graphicFrame macro="">
          <xdr:nvGraphicFramePr>
            <xdr:cNvPr id="22" name="Loan Duration Group">
              <a:extLst>
                <a:ext uri="{FF2B5EF4-FFF2-40B4-BE49-F238E27FC236}">
                  <a16:creationId xmlns:a16="http://schemas.microsoft.com/office/drawing/2014/main" id="{2E1498E2-4F0D-3309-7D6D-5A0BDC2D4D3F}"/>
                </a:ext>
              </a:extLst>
            </xdr:cNvPr>
            <xdr:cNvGraphicFramePr/>
          </xdr:nvGraphicFramePr>
          <xdr:xfrm>
            <a:off x="0" y="0"/>
            <a:ext cx="0" cy="0"/>
          </xdr:xfrm>
          <a:graphic>
            <a:graphicData uri="http://schemas.microsoft.com/office/drawing/2010/slicer">
              <sle:slicer xmlns:sle="http://schemas.microsoft.com/office/drawing/2010/slicer" name="Loan Duration Group"/>
            </a:graphicData>
          </a:graphic>
        </xdr:graphicFrame>
      </mc:Choice>
      <mc:Fallback>
        <xdr:sp macro="" textlink="">
          <xdr:nvSpPr>
            <xdr:cNvPr id="0" name=""/>
            <xdr:cNvSpPr>
              <a:spLocks noTextEdit="1"/>
            </xdr:cNvSpPr>
          </xdr:nvSpPr>
          <xdr:spPr>
            <a:xfrm>
              <a:off x="22860" y="4037790"/>
              <a:ext cx="1823936" cy="122892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28</xdr:row>
      <xdr:rowOff>137160</xdr:rowOff>
    </xdr:from>
    <xdr:to>
      <xdr:col>3</xdr:col>
      <xdr:colOff>45720</xdr:colOff>
      <xdr:row>42</xdr:row>
      <xdr:rowOff>158115</xdr:rowOff>
    </xdr:to>
    <mc:AlternateContent xmlns:mc="http://schemas.openxmlformats.org/markup-compatibility/2006">
      <mc:Choice xmlns:a14="http://schemas.microsoft.com/office/drawing/2010/main" Requires="a14">
        <xdr:graphicFrame macro="">
          <xdr:nvGraphicFramePr>
            <xdr:cNvPr id="23" name="Purpose">
              <a:extLst>
                <a:ext uri="{FF2B5EF4-FFF2-40B4-BE49-F238E27FC236}">
                  <a16:creationId xmlns:a16="http://schemas.microsoft.com/office/drawing/2014/main" id="{2428CB1A-8750-67D3-0EA2-E938EC965BD3}"/>
                </a:ext>
              </a:extLst>
            </xdr:cNvPr>
            <xdr:cNvGraphicFramePr/>
          </xdr:nvGraphicFramePr>
          <xdr:xfrm>
            <a:off x="0" y="0"/>
            <a:ext cx="0" cy="0"/>
          </xdr:xfrm>
          <a:graphic>
            <a:graphicData uri="http://schemas.microsoft.com/office/drawing/2010/slicer">
              <sle:slicer xmlns:sle="http://schemas.microsoft.com/office/drawing/2010/slicer" name="Purpose"/>
            </a:graphicData>
          </a:graphic>
        </xdr:graphicFrame>
      </mc:Choice>
      <mc:Fallback>
        <xdr:sp macro="" textlink="">
          <xdr:nvSpPr>
            <xdr:cNvPr id="0" name=""/>
            <xdr:cNvSpPr>
              <a:spLocks noTextEdit="1"/>
            </xdr:cNvSpPr>
          </xdr:nvSpPr>
          <xdr:spPr>
            <a:xfrm>
              <a:off x="45720" y="5365777"/>
              <a:ext cx="1823936" cy="263121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vhani Tshisudzungwane" refreshedDate="46121.391349305559" createdVersion="8" refreshedVersion="8" minRefreshableVersion="3" recordCount="1000" xr:uid="{28120D65-1892-49F4-A902-B3FF99D1A7FC}">
  <cacheSource type="worksheet">
    <worksheetSource ref="A1:L1001" sheet="Working Sheet"/>
  </cacheSource>
  <cacheFields count="12">
    <cacheField name="Age" numFmtId="0">
      <sharedItems containsSemiMixedTypes="0" containsString="0" containsNumber="1" containsInteger="1" minValue="19" maxValue="75"/>
    </cacheField>
    <cacheField name="Sex" numFmtId="0">
      <sharedItems/>
    </cacheField>
    <cacheField name="Job" numFmtId="0">
      <sharedItems containsSemiMixedTypes="0" containsString="0" containsNumber="1" containsInteger="1" minValue="0" maxValue="3"/>
    </cacheField>
    <cacheField name="Housing" numFmtId="0">
      <sharedItems/>
    </cacheField>
    <cacheField name="Saving accounts" numFmtId="0">
      <sharedItems/>
    </cacheField>
    <cacheField name="Checking account" numFmtId="0">
      <sharedItems/>
    </cacheField>
    <cacheField name="Credit Amount" numFmtId="1">
      <sharedItems containsSemiMixedTypes="0" containsString="0" containsNumber="1" containsInteger="1" minValue="250" maxValue="18424"/>
    </cacheField>
    <cacheField name="Loan Duration" numFmtId="0">
      <sharedItems containsSemiMixedTypes="0" containsString="0" containsNumber="1" containsInteger="1" minValue="4" maxValue="72"/>
    </cacheField>
    <cacheField name="Purpose" numFmtId="0">
      <sharedItems/>
    </cacheField>
    <cacheField name="Risk " numFmtId="0">
      <sharedItems count="3">
        <s v="Low Risk"/>
        <s v="High Risk"/>
        <s v="Medium Risk"/>
      </sharedItems>
    </cacheField>
    <cacheField name="Age Group" numFmtId="0">
      <sharedItems count="3">
        <s v="Adult"/>
        <s v="Young"/>
        <s v="Senior"/>
      </sharedItems>
    </cacheField>
    <cacheField name="Loan Duration Group" numFmtId="0">
      <sharedItems count="3">
        <s v="Short"/>
        <s v="Long"/>
        <s v="Medium"/>
      </sharedItems>
    </cacheField>
  </cacheFields>
  <extLst>
    <ext xmlns:x14="http://schemas.microsoft.com/office/spreadsheetml/2009/9/main" uri="{725AE2AE-9491-48be-B2B4-4EB974FC3084}">
      <x14:pivotCacheDefinition pivotCacheId="11784416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vhani Tshisudzungwane" refreshedDate="46121.391351388891" createdVersion="8" refreshedVersion="8" minRefreshableVersion="3" recordCount="1000" xr:uid="{1063DD6A-0436-4A8A-9A57-635618F2BEC0}">
  <cacheSource type="worksheet">
    <worksheetSource ref="A1:M1001" sheet="Working Sheet"/>
  </cacheSource>
  <cacheFields count="13">
    <cacheField name="Age" numFmtId="0">
      <sharedItems containsSemiMixedTypes="0" containsString="0" containsNumber="1" containsInteger="1" minValue="19" maxValue="75"/>
    </cacheField>
    <cacheField name="Sex" numFmtId="0">
      <sharedItems/>
    </cacheField>
    <cacheField name="Job" numFmtId="0">
      <sharedItems containsSemiMixedTypes="0" containsString="0" containsNumber="1" containsInteger="1" minValue="0" maxValue="3"/>
    </cacheField>
    <cacheField name="Housing" numFmtId="0">
      <sharedItems/>
    </cacheField>
    <cacheField name="Saving accounts" numFmtId="0">
      <sharedItems/>
    </cacheField>
    <cacheField name="Checking account" numFmtId="0">
      <sharedItems/>
    </cacheField>
    <cacheField name="Credit Amount" numFmtId="1">
      <sharedItems containsSemiMixedTypes="0" containsString="0" containsNumber="1" containsInteger="1" minValue="250" maxValue="18424"/>
    </cacheField>
    <cacheField name="Loan Duration" numFmtId="0">
      <sharedItems containsSemiMixedTypes="0" containsString="0" containsNumber="1" containsInteger="1" minValue="4" maxValue="72"/>
    </cacheField>
    <cacheField name="Purpose" numFmtId="0">
      <sharedItems count="8">
        <s v="Radio/TV"/>
        <s v="Education"/>
        <s v="Furniture/Equipment"/>
        <s v="Car"/>
        <s v="Business"/>
        <s v="Domestic appliances"/>
        <s v="Repairs"/>
        <s v="Vacation/Others"/>
      </sharedItems>
    </cacheField>
    <cacheField name="Risk " numFmtId="0">
      <sharedItems count="3">
        <s v="Low Risk"/>
        <s v="High Risk"/>
        <s v="Medium Risk"/>
      </sharedItems>
    </cacheField>
    <cacheField name="Age Group" numFmtId="0">
      <sharedItems/>
    </cacheField>
    <cacheField name="Loan Duration Group" numFmtId="0">
      <sharedItems/>
    </cacheField>
    <cacheField name="Loan Size Group" numFmtId="0">
      <sharedItems/>
    </cacheField>
  </cacheFields>
  <extLst>
    <ext xmlns:x14="http://schemas.microsoft.com/office/spreadsheetml/2009/9/main" uri="{725AE2AE-9491-48be-B2B4-4EB974FC3084}">
      <x14:pivotCacheDefinition pivotCacheId="5880939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67"/>
    <s v="Male"/>
    <n v="2"/>
    <s v="Own"/>
    <s v="Unknown"/>
    <s v="Little"/>
    <n v="1169"/>
    <n v="6"/>
    <s v="Radio/TV"/>
    <x v="0"/>
    <x v="0"/>
    <x v="0"/>
  </r>
  <r>
    <n v="22"/>
    <s v="Female"/>
    <n v="2"/>
    <s v="Own"/>
    <s v="Little"/>
    <s v="Moderate"/>
    <n v="5951"/>
    <n v="48"/>
    <s v="Radio/TV"/>
    <x v="1"/>
    <x v="1"/>
    <x v="1"/>
  </r>
  <r>
    <n v="49"/>
    <s v="Male"/>
    <n v="1"/>
    <s v="Own"/>
    <s v="Little"/>
    <s v="Unknown"/>
    <n v="2096"/>
    <n v="12"/>
    <s v="Education"/>
    <x v="0"/>
    <x v="2"/>
    <x v="2"/>
  </r>
  <r>
    <n v="45"/>
    <s v="Male"/>
    <n v="2"/>
    <s v="Free"/>
    <s v="Little"/>
    <s v="Little"/>
    <n v="7882"/>
    <n v="42"/>
    <s v="Furniture/Equipment"/>
    <x v="1"/>
    <x v="2"/>
    <x v="1"/>
  </r>
  <r>
    <n v="53"/>
    <s v="Male"/>
    <n v="2"/>
    <s v="Free"/>
    <s v="Little"/>
    <s v="Little"/>
    <n v="4870"/>
    <n v="24"/>
    <s v="Car"/>
    <x v="0"/>
    <x v="0"/>
    <x v="2"/>
  </r>
  <r>
    <n v="35"/>
    <s v="Male"/>
    <n v="1"/>
    <s v="Free"/>
    <s v="Unknown"/>
    <s v="Unknown"/>
    <n v="9055"/>
    <n v="36"/>
    <s v="Education"/>
    <x v="1"/>
    <x v="2"/>
    <x v="1"/>
  </r>
  <r>
    <n v="53"/>
    <s v="Male"/>
    <n v="2"/>
    <s v="Own"/>
    <s v="Quite rich"/>
    <s v="Unknown"/>
    <n v="2835"/>
    <n v="24"/>
    <s v="Furniture/Equipment"/>
    <x v="0"/>
    <x v="0"/>
    <x v="2"/>
  </r>
  <r>
    <n v="35"/>
    <s v="Male"/>
    <n v="3"/>
    <s v="Rent"/>
    <s v="Little"/>
    <s v="Moderate"/>
    <n v="6948"/>
    <n v="36"/>
    <s v="Car"/>
    <x v="2"/>
    <x v="2"/>
    <x v="1"/>
  </r>
  <r>
    <n v="61"/>
    <s v="Male"/>
    <n v="1"/>
    <s v="Own"/>
    <s v="rich"/>
    <s v="Unknown"/>
    <n v="3059"/>
    <n v="12"/>
    <s v="Radio/TV"/>
    <x v="0"/>
    <x v="0"/>
    <x v="2"/>
  </r>
  <r>
    <n v="28"/>
    <s v="Male"/>
    <n v="3"/>
    <s v="Own"/>
    <s v="Little"/>
    <s v="Moderate"/>
    <n v="5234"/>
    <n v="30"/>
    <s v="Car"/>
    <x v="2"/>
    <x v="1"/>
    <x v="2"/>
  </r>
  <r>
    <n v="25"/>
    <s v="Female"/>
    <n v="2"/>
    <s v="Rent"/>
    <s v="Little"/>
    <s v="Moderate"/>
    <n v="1295"/>
    <n v="12"/>
    <s v="Car"/>
    <x v="0"/>
    <x v="1"/>
    <x v="2"/>
  </r>
  <r>
    <n v="24"/>
    <s v="Female"/>
    <n v="2"/>
    <s v="Rent"/>
    <s v="Little"/>
    <s v="Little"/>
    <n v="4308"/>
    <n v="48"/>
    <s v="Business"/>
    <x v="1"/>
    <x v="1"/>
    <x v="1"/>
  </r>
  <r>
    <n v="22"/>
    <s v="Female"/>
    <n v="2"/>
    <s v="Own"/>
    <s v="Little"/>
    <s v="Moderate"/>
    <n v="1567"/>
    <n v="12"/>
    <s v="Radio/TV"/>
    <x v="0"/>
    <x v="1"/>
    <x v="2"/>
  </r>
  <r>
    <n v="60"/>
    <s v="Male"/>
    <n v="1"/>
    <s v="Own"/>
    <s v="Little"/>
    <s v="Little"/>
    <n v="1199"/>
    <n v="24"/>
    <s v="Car"/>
    <x v="0"/>
    <x v="0"/>
    <x v="2"/>
  </r>
  <r>
    <n v="28"/>
    <s v="Female"/>
    <n v="2"/>
    <s v="Rent"/>
    <s v="Little"/>
    <s v="Little"/>
    <n v="1403"/>
    <n v="15"/>
    <s v="Car"/>
    <x v="0"/>
    <x v="1"/>
    <x v="2"/>
  </r>
  <r>
    <n v="32"/>
    <s v="Female"/>
    <n v="1"/>
    <s v="Own"/>
    <s v="Moderate"/>
    <s v="Little"/>
    <n v="1282"/>
    <n v="24"/>
    <s v="Radio/TV"/>
    <x v="0"/>
    <x v="2"/>
    <x v="2"/>
  </r>
  <r>
    <n v="53"/>
    <s v="Male"/>
    <n v="2"/>
    <s v="Own"/>
    <s v="Unknown"/>
    <s v="Unknown"/>
    <n v="2424"/>
    <n v="24"/>
    <s v="Radio/TV"/>
    <x v="0"/>
    <x v="0"/>
    <x v="2"/>
  </r>
  <r>
    <n v="25"/>
    <s v="Male"/>
    <n v="2"/>
    <s v="Own"/>
    <s v="Unknown"/>
    <s v="Little"/>
    <n v="8072"/>
    <n v="30"/>
    <s v="Business"/>
    <x v="1"/>
    <x v="1"/>
    <x v="2"/>
  </r>
  <r>
    <n v="44"/>
    <s v="Female"/>
    <n v="3"/>
    <s v="Free"/>
    <s v="Little"/>
    <s v="Moderate"/>
    <n v="12579"/>
    <n v="24"/>
    <s v="Car"/>
    <x v="1"/>
    <x v="2"/>
    <x v="2"/>
  </r>
  <r>
    <n v="31"/>
    <s v="Male"/>
    <n v="2"/>
    <s v="Own"/>
    <s v="Quite rich"/>
    <s v="Unknown"/>
    <n v="3430"/>
    <n v="24"/>
    <s v="Radio/TV"/>
    <x v="0"/>
    <x v="2"/>
    <x v="2"/>
  </r>
  <r>
    <n v="48"/>
    <s v="Male"/>
    <n v="2"/>
    <s v="Own"/>
    <s v="Little"/>
    <s v="Unknown"/>
    <n v="2134"/>
    <n v="9"/>
    <s v="Car"/>
    <x v="0"/>
    <x v="2"/>
    <x v="0"/>
  </r>
  <r>
    <n v="44"/>
    <s v="Male"/>
    <n v="2"/>
    <s v="Rent"/>
    <s v="Quite rich"/>
    <s v="Little"/>
    <n v="2647"/>
    <n v="6"/>
    <s v="Radio/TV"/>
    <x v="0"/>
    <x v="2"/>
    <x v="0"/>
  </r>
  <r>
    <n v="48"/>
    <s v="Male"/>
    <n v="1"/>
    <s v="Rent"/>
    <s v="Little"/>
    <s v="Little"/>
    <n v="2241"/>
    <n v="10"/>
    <s v="Car"/>
    <x v="0"/>
    <x v="2"/>
    <x v="0"/>
  </r>
  <r>
    <n v="44"/>
    <s v="Male"/>
    <n v="2"/>
    <s v="Own"/>
    <s v="Moderate"/>
    <s v="Moderate"/>
    <n v="1804"/>
    <n v="12"/>
    <s v="Car"/>
    <x v="0"/>
    <x v="2"/>
    <x v="2"/>
  </r>
  <r>
    <n v="26"/>
    <s v="Male"/>
    <n v="2"/>
    <s v="Own"/>
    <s v="Unknown"/>
    <s v="Unknown"/>
    <n v="2069"/>
    <n v="10"/>
    <s v="Furniture/Equipment"/>
    <x v="0"/>
    <x v="1"/>
    <x v="0"/>
  </r>
  <r>
    <n v="36"/>
    <s v="Male"/>
    <n v="1"/>
    <s v="Own"/>
    <s v="Little"/>
    <s v="Little"/>
    <n v="1374"/>
    <n v="6"/>
    <s v="Furniture/Equipment"/>
    <x v="0"/>
    <x v="2"/>
    <x v="0"/>
  </r>
  <r>
    <n v="39"/>
    <s v="Male"/>
    <n v="1"/>
    <s v="Own"/>
    <s v="Little"/>
    <s v="Unknown"/>
    <n v="426"/>
    <n v="6"/>
    <s v="Radio/TV"/>
    <x v="0"/>
    <x v="2"/>
    <x v="0"/>
  </r>
  <r>
    <n v="42"/>
    <s v="Female"/>
    <n v="2"/>
    <s v="Rent"/>
    <s v="rich"/>
    <s v="rich"/>
    <n v="409"/>
    <n v="12"/>
    <s v="Radio/TV"/>
    <x v="0"/>
    <x v="2"/>
    <x v="2"/>
  </r>
  <r>
    <n v="34"/>
    <s v="Male"/>
    <n v="2"/>
    <s v="Own"/>
    <s v="Little"/>
    <s v="Moderate"/>
    <n v="2415"/>
    <n v="7"/>
    <s v="Radio/TV"/>
    <x v="0"/>
    <x v="2"/>
    <x v="0"/>
  </r>
  <r>
    <n v="63"/>
    <s v="Male"/>
    <n v="2"/>
    <s v="Own"/>
    <s v="Little"/>
    <s v="Little"/>
    <n v="6836"/>
    <n v="60"/>
    <s v="Business"/>
    <x v="1"/>
    <x v="0"/>
    <x v="1"/>
  </r>
  <r>
    <n v="36"/>
    <s v="Male"/>
    <n v="2"/>
    <s v="Own"/>
    <s v="rich"/>
    <s v="Moderate"/>
    <n v="1913"/>
    <n v="18"/>
    <s v="Business"/>
    <x v="0"/>
    <x v="2"/>
    <x v="2"/>
  </r>
  <r>
    <n v="27"/>
    <s v="Male"/>
    <n v="2"/>
    <s v="Own"/>
    <s v="Little"/>
    <s v="Little"/>
    <n v="4020"/>
    <n v="24"/>
    <s v="Furniture/Equipment"/>
    <x v="0"/>
    <x v="1"/>
    <x v="2"/>
  </r>
  <r>
    <n v="30"/>
    <s v="Male"/>
    <n v="2"/>
    <s v="Own"/>
    <s v="Moderate"/>
    <s v="Moderate"/>
    <n v="5866"/>
    <n v="18"/>
    <s v="Car"/>
    <x v="0"/>
    <x v="2"/>
    <x v="2"/>
  </r>
  <r>
    <n v="57"/>
    <s v="Male"/>
    <n v="1"/>
    <s v="Rent"/>
    <s v="Unknown"/>
    <s v="Unknown"/>
    <n v="1264"/>
    <n v="12"/>
    <s v="Business"/>
    <x v="0"/>
    <x v="0"/>
    <x v="2"/>
  </r>
  <r>
    <n v="33"/>
    <s v="Female"/>
    <n v="3"/>
    <s v="Own"/>
    <s v="Little"/>
    <s v="rich"/>
    <n v="1474"/>
    <n v="12"/>
    <s v="Furniture/Equipment"/>
    <x v="0"/>
    <x v="2"/>
    <x v="2"/>
  </r>
  <r>
    <n v="25"/>
    <s v="Male"/>
    <n v="1"/>
    <s v="Own"/>
    <s v="Little"/>
    <s v="Moderate"/>
    <n v="4746"/>
    <n v="45"/>
    <s v="Radio/TV"/>
    <x v="1"/>
    <x v="1"/>
    <x v="1"/>
  </r>
  <r>
    <n v="31"/>
    <s v="Male"/>
    <n v="2"/>
    <s v="Free"/>
    <s v="Little"/>
    <s v="Unknown"/>
    <n v="6110"/>
    <n v="48"/>
    <s v="Education"/>
    <x v="1"/>
    <x v="2"/>
    <x v="1"/>
  </r>
  <r>
    <n v="37"/>
    <s v="Male"/>
    <n v="2"/>
    <s v="Own"/>
    <s v="Little"/>
    <s v="rich"/>
    <n v="2100"/>
    <n v="18"/>
    <s v="Radio/TV"/>
    <x v="0"/>
    <x v="2"/>
    <x v="2"/>
  </r>
  <r>
    <n v="37"/>
    <s v="Male"/>
    <n v="2"/>
    <s v="Own"/>
    <s v="Little"/>
    <s v="rich"/>
    <n v="1225"/>
    <n v="10"/>
    <s v="Domestic appliances"/>
    <x v="0"/>
    <x v="2"/>
    <x v="0"/>
  </r>
  <r>
    <n v="24"/>
    <s v="Male"/>
    <n v="2"/>
    <s v="Own"/>
    <s v="Little"/>
    <s v="Moderate"/>
    <n v="458"/>
    <n v="9"/>
    <s v="Radio/TV"/>
    <x v="0"/>
    <x v="1"/>
    <x v="0"/>
  </r>
  <r>
    <n v="30"/>
    <s v="Male"/>
    <n v="3"/>
    <s v="Own"/>
    <s v="Quite rich"/>
    <s v="Unknown"/>
    <n v="2333"/>
    <n v="30"/>
    <s v="Radio/TV"/>
    <x v="0"/>
    <x v="2"/>
    <x v="2"/>
  </r>
  <r>
    <n v="26"/>
    <s v="Male"/>
    <n v="2"/>
    <s v="Own"/>
    <s v="Quite rich"/>
    <s v="Moderate"/>
    <n v="1158"/>
    <n v="12"/>
    <s v="Radio/TV"/>
    <x v="0"/>
    <x v="1"/>
    <x v="2"/>
  </r>
  <r>
    <n v="44"/>
    <s v="Male"/>
    <n v="1"/>
    <s v="Own"/>
    <s v="Little"/>
    <s v="Moderate"/>
    <n v="6204"/>
    <n v="18"/>
    <s v="Repairs"/>
    <x v="0"/>
    <x v="2"/>
    <x v="2"/>
  </r>
  <r>
    <n v="24"/>
    <s v="Male"/>
    <n v="2"/>
    <s v="Rent"/>
    <s v="Moderate"/>
    <s v="Little"/>
    <n v="6187"/>
    <n v="30"/>
    <s v="Car"/>
    <x v="2"/>
    <x v="1"/>
    <x v="2"/>
  </r>
  <r>
    <n v="58"/>
    <s v="Female"/>
    <n v="1"/>
    <s v="Free"/>
    <s v="Little"/>
    <s v="Little"/>
    <n v="6143"/>
    <n v="48"/>
    <s v="Car"/>
    <x v="1"/>
    <x v="0"/>
    <x v="1"/>
  </r>
  <r>
    <n v="35"/>
    <s v="Female"/>
    <n v="3"/>
    <s v="Own"/>
    <s v="Little"/>
    <s v="Unknown"/>
    <n v="1393"/>
    <n v="11"/>
    <s v="Car"/>
    <x v="0"/>
    <x v="2"/>
    <x v="0"/>
  </r>
  <r>
    <n v="39"/>
    <s v="Male"/>
    <n v="2"/>
    <s v="Own"/>
    <s v="Quite rich"/>
    <s v="Unknown"/>
    <n v="2299"/>
    <n v="36"/>
    <s v="Radio/TV"/>
    <x v="0"/>
    <x v="2"/>
    <x v="1"/>
  </r>
  <r>
    <n v="23"/>
    <s v="Female"/>
    <n v="0"/>
    <s v="Rent"/>
    <s v="Quite rich"/>
    <s v="Little"/>
    <n v="1352"/>
    <n v="6"/>
    <s v="Car"/>
    <x v="0"/>
    <x v="1"/>
    <x v="0"/>
  </r>
  <r>
    <n v="39"/>
    <s v="Male"/>
    <n v="1"/>
    <s v="Own"/>
    <s v="Little"/>
    <s v="Unknown"/>
    <n v="7228"/>
    <n v="11"/>
    <s v="Car"/>
    <x v="1"/>
    <x v="2"/>
    <x v="0"/>
  </r>
  <r>
    <n v="28"/>
    <s v="Female"/>
    <n v="2"/>
    <s v="Own"/>
    <s v="Moderate"/>
    <s v="Unknown"/>
    <n v="2073"/>
    <n v="12"/>
    <s v="Radio/TV"/>
    <x v="0"/>
    <x v="1"/>
    <x v="2"/>
  </r>
  <r>
    <n v="29"/>
    <s v="Male"/>
    <n v="1"/>
    <s v="Own"/>
    <s v="Unknown"/>
    <s v="Moderate"/>
    <n v="2333"/>
    <n v="24"/>
    <s v="Furniture/Equipment"/>
    <x v="0"/>
    <x v="1"/>
    <x v="2"/>
  </r>
  <r>
    <n v="30"/>
    <s v="Male"/>
    <n v="3"/>
    <s v="Own"/>
    <s v="Little"/>
    <s v="Moderate"/>
    <n v="5965"/>
    <n v="27"/>
    <s v="Car"/>
    <x v="2"/>
    <x v="2"/>
    <x v="2"/>
  </r>
  <r>
    <n v="25"/>
    <s v="Male"/>
    <n v="2"/>
    <s v="Own"/>
    <s v="Little"/>
    <s v="Unknown"/>
    <n v="1262"/>
    <n v="12"/>
    <s v="Radio/TV"/>
    <x v="0"/>
    <x v="1"/>
    <x v="2"/>
  </r>
  <r>
    <n v="31"/>
    <s v="Male"/>
    <n v="2"/>
    <s v="Own"/>
    <s v="Unknown"/>
    <s v="Unknown"/>
    <n v="3378"/>
    <n v="18"/>
    <s v="Car"/>
    <x v="0"/>
    <x v="2"/>
    <x v="2"/>
  </r>
  <r>
    <n v="57"/>
    <s v="Male"/>
    <n v="2"/>
    <s v="Free"/>
    <s v="Little"/>
    <s v="Moderate"/>
    <n v="2225"/>
    <n v="36"/>
    <s v="Car"/>
    <x v="0"/>
    <x v="0"/>
    <x v="1"/>
  </r>
  <r>
    <n v="26"/>
    <s v="Male"/>
    <n v="1"/>
    <s v="Own"/>
    <s v="Unknown"/>
    <s v="Unknown"/>
    <n v="783"/>
    <n v="6"/>
    <s v="Car"/>
    <x v="0"/>
    <x v="1"/>
    <x v="0"/>
  </r>
  <r>
    <n v="52"/>
    <s v="Male"/>
    <n v="3"/>
    <s v="Own"/>
    <s v="Unknown"/>
    <s v="Moderate"/>
    <n v="6468"/>
    <n v="12"/>
    <s v="Radio/TV"/>
    <x v="0"/>
    <x v="0"/>
    <x v="2"/>
  </r>
  <r>
    <n v="31"/>
    <s v="Female"/>
    <n v="2"/>
    <s v="Own"/>
    <s v="Little"/>
    <s v="Unknown"/>
    <n v="9566"/>
    <n v="36"/>
    <s v="Radio/TV"/>
    <x v="1"/>
    <x v="2"/>
    <x v="1"/>
  </r>
  <r>
    <n v="23"/>
    <s v="Female"/>
    <n v="3"/>
    <s v="Own"/>
    <s v="Little"/>
    <s v="rich"/>
    <n v="1961"/>
    <n v="18"/>
    <s v="Car"/>
    <x v="0"/>
    <x v="1"/>
    <x v="2"/>
  </r>
  <r>
    <n v="23"/>
    <s v="Female"/>
    <n v="1"/>
    <s v="Rent"/>
    <s v="Little"/>
    <s v="Little"/>
    <n v="6229"/>
    <n v="36"/>
    <s v="Furniture/Equipment"/>
    <x v="2"/>
    <x v="1"/>
    <x v="1"/>
  </r>
  <r>
    <n v="27"/>
    <s v="Male"/>
    <n v="2"/>
    <s v="Own"/>
    <s v="Little"/>
    <s v="Moderate"/>
    <n v="1391"/>
    <n v="9"/>
    <s v="Business"/>
    <x v="0"/>
    <x v="1"/>
    <x v="0"/>
  </r>
  <r>
    <n v="50"/>
    <s v="Male"/>
    <n v="2"/>
    <s v="Own"/>
    <s v="Unknown"/>
    <s v="Moderate"/>
    <n v="1537"/>
    <n v="15"/>
    <s v="Radio/TV"/>
    <x v="0"/>
    <x v="2"/>
    <x v="2"/>
  </r>
  <r>
    <n v="61"/>
    <s v="Male"/>
    <n v="3"/>
    <s v="Free"/>
    <s v="Little"/>
    <s v="Moderate"/>
    <n v="1953"/>
    <n v="36"/>
    <s v="Business"/>
    <x v="0"/>
    <x v="0"/>
    <x v="1"/>
  </r>
  <r>
    <n v="25"/>
    <s v="Male"/>
    <n v="2"/>
    <s v="Own"/>
    <s v="Little"/>
    <s v="Moderate"/>
    <n v="14421"/>
    <n v="48"/>
    <s v="Business"/>
    <x v="1"/>
    <x v="1"/>
    <x v="1"/>
  </r>
  <r>
    <n v="26"/>
    <s v="Female"/>
    <n v="2"/>
    <s v="Own"/>
    <s v="Little"/>
    <s v="Unknown"/>
    <n v="3181"/>
    <n v="24"/>
    <s v="Radio/TV"/>
    <x v="0"/>
    <x v="1"/>
    <x v="2"/>
  </r>
  <r>
    <n v="48"/>
    <s v="Male"/>
    <n v="2"/>
    <s v="Own"/>
    <s v="Unknown"/>
    <s v="Unknown"/>
    <n v="5190"/>
    <n v="27"/>
    <s v="Repairs"/>
    <x v="2"/>
    <x v="2"/>
    <x v="2"/>
  </r>
  <r>
    <n v="29"/>
    <s v="Female"/>
    <n v="2"/>
    <s v="Own"/>
    <s v="Little"/>
    <s v="Unknown"/>
    <n v="2171"/>
    <n v="12"/>
    <s v="Radio/TV"/>
    <x v="0"/>
    <x v="1"/>
    <x v="2"/>
  </r>
  <r>
    <n v="22"/>
    <s v="Male"/>
    <n v="2"/>
    <s v="Own"/>
    <s v="rich"/>
    <s v="Moderate"/>
    <n v="1007"/>
    <n v="12"/>
    <s v="Car"/>
    <x v="0"/>
    <x v="1"/>
    <x v="2"/>
  </r>
  <r>
    <n v="37"/>
    <s v="Male"/>
    <n v="2"/>
    <s v="Free"/>
    <s v="Little"/>
    <s v="Unknown"/>
    <n v="1819"/>
    <n v="36"/>
    <s v="Education"/>
    <x v="0"/>
    <x v="2"/>
    <x v="1"/>
  </r>
  <r>
    <n v="25"/>
    <s v="Female"/>
    <n v="2"/>
    <s v="Own"/>
    <s v="Unknown"/>
    <s v="Unknown"/>
    <n v="2394"/>
    <n v="36"/>
    <s v="Radio/TV"/>
    <x v="0"/>
    <x v="1"/>
    <x v="1"/>
  </r>
  <r>
    <n v="30"/>
    <s v="Female"/>
    <n v="2"/>
    <s v="Own"/>
    <s v="Little"/>
    <s v="Unknown"/>
    <n v="8133"/>
    <n v="36"/>
    <s v="Car"/>
    <x v="1"/>
    <x v="2"/>
    <x v="1"/>
  </r>
  <r>
    <n v="46"/>
    <s v="Male"/>
    <n v="1"/>
    <s v="Rent"/>
    <s v="Unknown"/>
    <s v="Unknown"/>
    <n v="730"/>
    <n v="7"/>
    <s v="Radio/TV"/>
    <x v="0"/>
    <x v="2"/>
    <x v="0"/>
  </r>
  <r>
    <n v="51"/>
    <s v="Male"/>
    <n v="3"/>
    <s v="Free"/>
    <s v="Little"/>
    <s v="Little"/>
    <n v="1164"/>
    <n v="8"/>
    <s v="Vacation/Others"/>
    <x v="0"/>
    <x v="0"/>
    <x v="0"/>
  </r>
  <r>
    <n v="41"/>
    <s v="Female"/>
    <n v="1"/>
    <s v="Own"/>
    <s v="Little"/>
    <s v="Moderate"/>
    <n v="5954"/>
    <n v="42"/>
    <s v="Business"/>
    <x v="1"/>
    <x v="2"/>
    <x v="1"/>
  </r>
  <r>
    <n v="40"/>
    <s v="Male"/>
    <n v="3"/>
    <s v="Own"/>
    <s v="Unknown"/>
    <s v="Little"/>
    <n v="1977"/>
    <n v="36"/>
    <s v="Education"/>
    <x v="0"/>
    <x v="2"/>
    <x v="1"/>
  </r>
  <r>
    <n v="66"/>
    <s v="Male"/>
    <n v="3"/>
    <s v="Free"/>
    <s v="Little"/>
    <s v="Little"/>
    <n v="1526"/>
    <n v="12"/>
    <s v="Car"/>
    <x v="0"/>
    <x v="0"/>
    <x v="2"/>
  </r>
  <r>
    <n v="34"/>
    <s v="Male"/>
    <n v="2"/>
    <s v="Own"/>
    <s v="Little"/>
    <s v="Little"/>
    <n v="3965"/>
    <n v="42"/>
    <s v="Radio/TV"/>
    <x v="1"/>
    <x v="2"/>
    <x v="1"/>
  </r>
  <r>
    <n v="51"/>
    <s v="Male"/>
    <n v="2"/>
    <s v="Own"/>
    <s v="Little"/>
    <s v="Moderate"/>
    <n v="4771"/>
    <n v="11"/>
    <s v="Radio/TV"/>
    <x v="0"/>
    <x v="0"/>
    <x v="0"/>
  </r>
  <r>
    <n v="39"/>
    <s v="Male"/>
    <n v="1"/>
    <s v="Own"/>
    <s v="Unknown"/>
    <s v="Unknown"/>
    <n v="9436"/>
    <n v="54"/>
    <s v="Car"/>
    <x v="1"/>
    <x v="2"/>
    <x v="1"/>
  </r>
  <r>
    <n v="22"/>
    <s v="Male"/>
    <n v="2"/>
    <s v="Own"/>
    <s v="Little"/>
    <s v="Moderate"/>
    <n v="3832"/>
    <n v="30"/>
    <s v="Furniture/Equipment"/>
    <x v="0"/>
    <x v="1"/>
    <x v="2"/>
  </r>
  <r>
    <n v="44"/>
    <s v="Female"/>
    <n v="2"/>
    <s v="Own"/>
    <s v="Unknown"/>
    <s v="Unknown"/>
    <n v="5943"/>
    <n v="24"/>
    <s v="Radio/TV"/>
    <x v="0"/>
    <x v="2"/>
    <x v="2"/>
  </r>
  <r>
    <n v="47"/>
    <s v="Male"/>
    <n v="2"/>
    <s v="Own"/>
    <s v="Quite rich"/>
    <s v="Unknown"/>
    <n v="1213"/>
    <n v="15"/>
    <s v="Radio/TV"/>
    <x v="0"/>
    <x v="2"/>
    <x v="2"/>
  </r>
  <r>
    <n v="24"/>
    <s v="Female"/>
    <n v="1"/>
    <s v="Rent"/>
    <s v="Moderate"/>
    <s v="Unknown"/>
    <n v="1568"/>
    <n v="18"/>
    <s v="Business"/>
    <x v="0"/>
    <x v="1"/>
    <x v="2"/>
  </r>
  <r>
    <n v="58"/>
    <s v="Female"/>
    <n v="1"/>
    <s v="Own"/>
    <s v="Little"/>
    <s v="Little"/>
    <n v="1755"/>
    <n v="24"/>
    <s v="Vacation/Others"/>
    <x v="0"/>
    <x v="0"/>
    <x v="2"/>
  </r>
  <r>
    <n v="52"/>
    <s v="Male"/>
    <n v="1"/>
    <s v="Own"/>
    <s v="Little"/>
    <s v="Little"/>
    <n v="2315"/>
    <n v="10"/>
    <s v="Radio/TV"/>
    <x v="0"/>
    <x v="0"/>
    <x v="0"/>
  </r>
  <r>
    <n v="29"/>
    <s v="Female"/>
    <n v="3"/>
    <s v="Own"/>
    <s v="Little"/>
    <s v="Unknown"/>
    <n v="1412"/>
    <n v="12"/>
    <s v="Business"/>
    <x v="0"/>
    <x v="1"/>
    <x v="2"/>
  </r>
  <r>
    <n v="27"/>
    <s v="Female"/>
    <n v="2"/>
    <s v="Own"/>
    <s v="Little"/>
    <s v="Moderate"/>
    <n v="1295"/>
    <n v="18"/>
    <s v="Furniture/Equipment"/>
    <x v="0"/>
    <x v="1"/>
    <x v="2"/>
  </r>
  <r>
    <n v="47"/>
    <s v="Male"/>
    <n v="2"/>
    <s v="Free"/>
    <s v="Moderate"/>
    <s v="Moderate"/>
    <n v="12612"/>
    <n v="36"/>
    <s v="Education"/>
    <x v="1"/>
    <x v="2"/>
    <x v="1"/>
  </r>
  <r>
    <n v="30"/>
    <s v="Male"/>
    <n v="3"/>
    <s v="Own"/>
    <s v="Moderate"/>
    <s v="Little"/>
    <n v="2249"/>
    <n v="18"/>
    <s v="Car"/>
    <x v="0"/>
    <x v="2"/>
    <x v="2"/>
  </r>
  <r>
    <n v="28"/>
    <s v="Male"/>
    <n v="2"/>
    <s v="Own"/>
    <s v="Little"/>
    <s v="Little"/>
    <n v="1108"/>
    <n v="12"/>
    <s v="Repairs"/>
    <x v="0"/>
    <x v="1"/>
    <x v="2"/>
  </r>
  <r>
    <n v="56"/>
    <s v="Male"/>
    <n v="2"/>
    <s v="Own"/>
    <s v="Little"/>
    <s v="Unknown"/>
    <n v="618"/>
    <n v="12"/>
    <s v="Radio/TV"/>
    <x v="0"/>
    <x v="0"/>
    <x v="2"/>
  </r>
  <r>
    <n v="54"/>
    <s v="Male"/>
    <n v="2"/>
    <s v="Own"/>
    <s v="Little"/>
    <s v="Little"/>
    <n v="1409"/>
    <n v="12"/>
    <s v="Car"/>
    <x v="0"/>
    <x v="0"/>
    <x v="2"/>
  </r>
  <r>
    <n v="33"/>
    <s v="Female"/>
    <n v="1"/>
    <s v="Own"/>
    <s v="Unknown"/>
    <s v="Unknown"/>
    <n v="797"/>
    <n v="12"/>
    <s v="Radio/TV"/>
    <x v="0"/>
    <x v="2"/>
    <x v="2"/>
  </r>
  <r>
    <n v="20"/>
    <s v="Male"/>
    <n v="2"/>
    <s v="Rent"/>
    <s v="Unknown"/>
    <s v="rich"/>
    <n v="3617"/>
    <n v="24"/>
    <s v="Furniture/Equipment"/>
    <x v="0"/>
    <x v="1"/>
    <x v="2"/>
  </r>
  <r>
    <n v="54"/>
    <s v="Male"/>
    <n v="2"/>
    <s v="Own"/>
    <s v="rich"/>
    <s v="Moderate"/>
    <n v="1318"/>
    <n v="12"/>
    <s v="Car"/>
    <x v="0"/>
    <x v="0"/>
    <x v="2"/>
  </r>
  <r>
    <n v="58"/>
    <s v="Male"/>
    <n v="2"/>
    <s v="Rent"/>
    <s v="Little"/>
    <s v="Moderate"/>
    <n v="15945"/>
    <n v="54"/>
    <s v="Business"/>
    <x v="1"/>
    <x v="0"/>
    <x v="1"/>
  </r>
  <r>
    <n v="61"/>
    <s v="Female"/>
    <n v="2"/>
    <s v="Own"/>
    <s v="Unknown"/>
    <s v="Unknown"/>
    <n v="2012"/>
    <n v="12"/>
    <s v="Education"/>
    <x v="0"/>
    <x v="0"/>
    <x v="2"/>
  </r>
  <r>
    <n v="34"/>
    <s v="Male"/>
    <n v="2"/>
    <s v="Own"/>
    <s v="Moderate"/>
    <s v="Moderate"/>
    <n v="2622"/>
    <n v="18"/>
    <s v="Business"/>
    <x v="0"/>
    <x v="2"/>
    <x v="2"/>
  </r>
  <r>
    <n v="36"/>
    <s v="Male"/>
    <n v="2"/>
    <s v="Own"/>
    <s v="Little"/>
    <s v="Moderate"/>
    <n v="2337"/>
    <n v="36"/>
    <s v="Radio/TV"/>
    <x v="0"/>
    <x v="2"/>
    <x v="1"/>
  </r>
  <r>
    <n v="36"/>
    <s v="Male"/>
    <n v="3"/>
    <s v="Rent"/>
    <s v="Unknown"/>
    <s v="Moderate"/>
    <n v="7057"/>
    <n v="20"/>
    <s v="Car"/>
    <x v="1"/>
    <x v="2"/>
    <x v="2"/>
  </r>
  <r>
    <n v="41"/>
    <s v="Male"/>
    <n v="1"/>
    <s v="Rent"/>
    <s v="Moderate"/>
    <s v="Unknown"/>
    <n v="1469"/>
    <n v="24"/>
    <s v="Car"/>
    <x v="0"/>
    <x v="2"/>
    <x v="2"/>
  </r>
  <r>
    <n v="24"/>
    <s v="Male"/>
    <n v="2"/>
    <s v="Rent"/>
    <s v="Little"/>
    <s v="Moderate"/>
    <n v="2323"/>
    <n v="36"/>
    <s v="Radio/TV"/>
    <x v="0"/>
    <x v="1"/>
    <x v="1"/>
  </r>
  <r>
    <n v="24"/>
    <s v="Female"/>
    <n v="2"/>
    <s v="Own"/>
    <s v="Little"/>
    <s v="Unknown"/>
    <n v="932"/>
    <n v="6"/>
    <s v="Radio/TV"/>
    <x v="0"/>
    <x v="1"/>
    <x v="0"/>
  </r>
  <r>
    <n v="35"/>
    <s v="Male"/>
    <n v="2"/>
    <s v="Rent"/>
    <s v="Little"/>
    <s v="Moderate"/>
    <n v="1919"/>
    <n v="9"/>
    <s v="Furniture/Equipment"/>
    <x v="0"/>
    <x v="2"/>
    <x v="0"/>
  </r>
  <r>
    <n v="26"/>
    <s v="Male"/>
    <n v="2"/>
    <s v="Rent"/>
    <s v="Unknown"/>
    <s v="Unknown"/>
    <n v="2445"/>
    <n v="12"/>
    <s v="Car"/>
    <x v="0"/>
    <x v="1"/>
    <x v="2"/>
  </r>
  <r>
    <n v="39"/>
    <s v="Male"/>
    <n v="3"/>
    <s v="Own"/>
    <s v="Little"/>
    <s v="Moderate"/>
    <n v="11938"/>
    <n v="24"/>
    <s v="Vacation/Others"/>
    <x v="1"/>
    <x v="2"/>
    <x v="2"/>
  </r>
  <r>
    <n v="39"/>
    <s v="Male"/>
    <n v="3"/>
    <s v="Own"/>
    <s v="Little"/>
    <s v="Unknown"/>
    <n v="6458"/>
    <n v="18"/>
    <s v="Car"/>
    <x v="0"/>
    <x v="2"/>
    <x v="2"/>
  </r>
  <r>
    <n v="32"/>
    <s v="Male"/>
    <n v="2"/>
    <s v="Own"/>
    <s v="Little"/>
    <s v="Moderate"/>
    <n v="6078"/>
    <n v="12"/>
    <s v="Car"/>
    <x v="0"/>
    <x v="2"/>
    <x v="2"/>
  </r>
  <r>
    <n v="30"/>
    <s v="Female"/>
    <n v="2"/>
    <s v="Own"/>
    <s v="Unknown"/>
    <s v="Little"/>
    <n v="7721"/>
    <n v="24"/>
    <s v="Furniture/Equipment"/>
    <x v="1"/>
    <x v="2"/>
    <x v="2"/>
  </r>
  <r>
    <n v="35"/>
    <s v="Male"/>
    <n v="2"/>
    <s v="Own"/>
    <s v="Quite rich"/>
    <s v="Moderate"/>
    <n v="1410"/>
    <n v="14"/>
    <s v="Business"/>
    <x v="0"/>
    <x v="2"/>
    <x v="2"/>
  </r>
  <r>
    <n v="31"/>
    <s v="Male"/>
    <n v="2"/>
    <s v="Own"/>
    <s v="Moderate"/>
    <s v="Moderate"/>
    <n v="1449"/>
    <n v="6"/>
    <s v="Business"/>
    <x v="0"/>
    <x v="2"/>
    <x v="0"/>
  </r>
  <r>
    <n v="23"/>
    <s v="Female"/>
    <n v="2"/>
    <s v="Rent"/>
    <s v="Little"/>
    <s v="rich"/>
    <n v="392"/>
    <n v="15"/>
    <s v="Education"/>
    <x v="0"/>
    <x v="1"/>
    <x v="2"/>
  </r>
  <r>
    <n v="28"/>
    <s v="Male"/>
    <n v="1"/>
    <s v="Rent"/>
    <s v="Little"/>
    <s v="Moderate"/>
    <n v="6260"/>
    <n v="18"/>
    <s v="Car"/>
    <x v="0"/>
    <x v="1"/>
    <x v="2"/>
  </r>
  <r>
    <n v="25"/>
    <s v="Female"/>
    <n v="2"/>
    <s v="Own"/>
    <s v="Little"/>
    <s v="Unknown"/>
    <n v="7855"/>
    <n v="36"/>
    <s v="Car"/>
    <x v="1"/>
    <x v="1"/>
    <x v="1"/>
  </r>
  <r>
    <n v="35"/>
    <s v="Male"/>
    <n v="2"/>
    <s v="Own"/>
    <s v="Quite rich"/>
    <s v="Little"/>
    <n v="1680"/>
    <n v="12"/>
    <s v="Radio/TV"/>
    <x v="0"/>
    <x v="2"/>
    <x v="2"/>
  </r>
  <r>
    <n v="47"/>
    <s v="Male"/>
    <n v="2"/>
    <s v="Own"/>
    <s v="Unknown"/>
    <s v="Unknown"/>
    <n v="3578"/>
    <n v="48"/>
    <s v="Radio/TV"/>
    <x v="1"/>
    <x v="2"/>
    <x v="1"/>
  </r>
  <r>
    <n v="30"/>
    <s v="Female"/>
    <n v="3"/>
    <s v="Own"/>
    <s v="Unknown"/>
    <s v="Little"/>
    <n v="7174"/>
    <n v="42"/>
    <s v="Radio/TV"/>
    <x v="1"/>
    <x v="2"/>
    <x v="1"/>
  </r>
  <r>
    <n v="27"/>
    <s v="Female"/>
    <n v="2"/>
    <s v="Rent"/>
    <s v="Unknown"/>
    <s v="Little"/>
    <n v="2132"/>
    <n v="10"/>
    <s v="Furniture/Equipment"/>
    <x v="0"/>
    <x v="1"/>
    <x v="0"/>
  </r>
  <r>
    <n v="23"/>
    <s v="Female"/>
    <n v="2"/>
    <s v="Own"/>
    <s v="Quite rich"/>
    <s v="Little"/>
    <n v="4281"/>
    <n v="33"/>
    <s v="Furniture/Equipment"/>
    <x v="2"/>
    <x v="1"/>
    <x v="2"/>
  </r>
  <r>
    <n v="36"/>
    <s v="Male"/>
    <n v="3"/>
    <s v="Own"/>
    <s v="Quite rich"/>
    <s v="Moderate"/>
    <n v="2366"/>
    <n v="12"/>
    <s v="Car"/>
    <x v="0"/>
    <x v="2"/>
    <x v="2"/>
  </r>
  <r>
    <n v="25"/>
    <s v="Female"/>
    <n v="2"/>
    <s v="Own"/>
    <s v="Little"/>
    <s v="Little"/>
    <n v="1835"/>
    <n v="21"/>
    <s v="Radio/TV"/>
    <x v="0"/>
    <x v="1"/>
    <x v="2"/>
  </r>
  <r>
    <n v="41"/>
    <s v="Female"/>
    <n v="3"/>
    <s v="Rent"/>
    <s v="Little"/>
    <s v="Unknown"/>
    <n v="3868"/>
    <n v="24"/>
    <s v="Car"/>
    <x v="0"/>
    <x v="2"/>
    <x v="2"/>
  </r>
  <r>
    <n v="24"/>
    <s v="Male"/>
    <n v="1"/>
    <s v="Rent"/>
    <s v="Little"/>
    <s v="Unknown"/>
    <n v="1768"/>
    <n v="12"/>
    <s v="Furniture/Equipment"/>
    <x v="0"/>
    <x v="1"/>
    <x v="2"/>
  </r>
  <r>
    <n v="63"/>
    <s v="Male"/>
    <n v="2"/>
    <s v="Free"/>
    <s v="Little"/>
    <s v="rich"/>
    <n v="781"/>
    <n v="10"/>
    <s v="Car"/>
    <x v="0"/>
    <x v="0"/>
    <x v="0"/>
  </r>
  <r>
    <n v="27"/>
    <s v="Female"/>
    <n v="2"/>
    <s v="Rent"/>
    <s v="Unknown"/>
    <s v="Moderate"/>
    <n v="1924"/>
    <n v="18"/>
    <s v="Furniture/Equipment"/>
    <x v="0"/>
    <x v="1"/>
    <x v="2"/>
  </r>
  <r>
    <n v="30"/>
    <s v="Male"/>
    <n v="2"/>
    <s v="Own"/>
    <s v="Little"/>
    <s v="Little"/>
    <n v="2121"/>
    <n v="12"/>
    <s v="Car"/>
    <x v="0"/>
    <x v="2"/>
    <x v="2"/>
  </r>
  <r>
    <n v="40"/>
    <s v="Male"/>
    <n v="1"/>
    <s v="Own"/>
    <s v="Little"/>
    <s v="Little"/>
    <n v="701"/>
    <n v="12"/>
    <s v="Radio/TV"/>
    <x v="0"/>
    <x v="2"/>
    <x v="2"/>
  </r>
  <r>
    <n v="30"/>
    <s v="Male"/>
    <n v="2"/>
    <s v="Own"/>
    <s v="Little"/>
    <s v="Moderate"/>
    <n v="639"/>
    <n v="12"/>
    <s v="Repairs"/>
    <x v="0"/>
    <x v="2"/>
    <x v="2"/>
  </r>
  <r>
    <n v="34"/>
    <s v="Male"/>
    <n v="3"/>
    <s v="Own"/>
    <s v="Little"/>
    <s v="Moderate"/>
    <n v="1860"/>
    <n v="12"/>
    <s v="Car"/>
    <x v="0"/>
    <x v="2"/>
    <x v="2"/>
  </r>
  <r>
    <n v="29"/>
    <s v="Female"/>
    <n v="2"/>
    <s v="Own"/>
    <s v="Little"/>
    <s v="Little"/>
    <n v="3499"/>
    <n v="12"/>
    <s v="Car"/>
    <x v="0"/>
    <x v="1"/>
    <x v="2"/>
  </r>
  <r>
    <n v="24"/>
    <s v="Female"/>
    <n v="2"/>
    <s v="Own"/>
    <s v="Unknown"/>
    <s v="Moderate"/>
    <n v="8487"/>
    <n v="48"/>
    <s v="Car"/>
    <x v="1"/>
    <x v="1"/>
    <x v="1"/>
  </r>
  <r>
    <n v="29"/>
    <s v="Male"/>
    <n v="2"/>
    <s v="Own"/>
    <s v="Little"/>
    <s v="Little"/>
    <n v="6887"/>
    <n v="36"/>
    <s v="Education"/>
    <x v="2"/>
    <x v="1"/>
    <x v="1"/>
  </r>
  <r>
    <n v="27"/>
    <s v="Male"/>
    <n v="1"/>
    <s v="Own"/>
    <s v="Little"/>
    <s v="Unknown"/>
    <n v="2708"/>
    <n v="15"/>
    <s v="Furniture/Equipment"/>
    <x v="0"/>
    <x v="1"/>
    <x v="2"/>
  </r>
  <r>
    <n v="47"/>
    <s v="Male"/>
    <n v="2"/>
    <s v="Free"/>
    <s v="Little"/>
    <s v="Unknown"/>
    <n v="1984"/>
    <n v="18"/>
    <s v="Furniture/Equipment"/>
    <x v="0"/>
    <x v="2"/>
    <x v="2"/>
  </r>
  <r>
    <n v="21"/>
    <s v="Female"/>
    <n v="2"/>
    <s v="Own"/>
    <s v="Moderate"/>
    <s v="Unknown"/>
    <n v="10144"/>
    <n v="60"/>
    <s v="Radio/TV"/>
    <x v="1"/>
    <x v="1"/>
    <x v="1"/>
  </r>
  <r>
    <n v="38"/>
    <s v="Female"/>
    <n v="2"/>
    <s v="Own"/>
    <s v="Unknown"/>
    <s v="Unknown"/>
    <n v="1240"/>
    <n v="12"/>
    <s v="Radio/TV"/>
    <x v="0"/>
    <x v="2"/>
    <x v="2"/>
  </r>
  <r>
    <n v="27"/>
    <s v="Male"/>
    <n v="2"/>
    <s v="Own"/>
    <s v="rich"/>
    <s v="Unknown"/>
    <n v="8613"/>
    <n v="27"/>
    <s v="Car"/>
    <x v="1"/>
    <x v="1"/>
    <x v="2"/>
  </r>
  <r>
    <n v="66"/>
    <s v="Male"/>
    <n v="1"/>
    <s v="Own"/>
    <s v="Quite rich"/>
    <s v="Moderate"/>
    <n v="766"/>
    <n v="12"/>
    <s v="Radio/TV"/>
    <x v="0"/>
    <x v="0"/>
    <x v="2"/>
  </r>
  <r>
    <n v="35"/>
    <s v="Male"/>
    <n v="2"/>
    <s v="Own"/>
    <s v="Unknown"/>
    <s v="Moderate"/>
    <n v="2728"/>
    <n v="15"/>
    <s v="Radio/TV"/>
    <x v="0"/>
    <x v="2"/>
    <x v="2"/>
  </r>
  <r>
    <n v="44"/>
    <s v="Female"/>
    <n v="1"/>
    <s v="Rent"/>
    <s v="Little"/>
    <s v="rich"/>
    <n v="1881"/>
    <n v="12"/>
    <s v="Radio/TV"/>
    <x v="0"/>
    <x v="2"/>
    <x v="2"/>
  </r>
  <r>
    <n v="27"/>
    <s v="Male"/>
    <n v="0"/>
    <s v="Own"/>
    <s v="rich"/>
    <s v="rich"/>
    <n v="709"/>
    <n v="6"/>
    <s v="Car"/>
    <x v="0"/>
    <x v="1"/>
    <x v="0"/>
  </r>
  <r>
    <n v="30"/>
    <s v="Female"/>
    <n v="3"/>
    <s v="Own"/>
    <s v="Little"/>
    <s v="Moderate"/>
    <n v="4795"/>
    <n v="36"/>
    <s v="Radio/TV"/>
    <x v="2"/>
    <x v="2"/>
    <x v="1"/>
  </r>
  <r>
    <n v="27"/>
    <s v="Male"/>
    <n v="3"/>
    <s v="Own"/>
    <s v="Little"/>
    <s v="Little"/>
    <n v="3416"/>
    <n v="27"/>
    <s v="Radio/TV"/>
    <x v="0"/>
    <x v="1"/>
    <x v="2"/>
  </r>
  <r>
    <n v="22"/>
    <s v="Male"/>
    <n v="2"/>
    <s v="Own"/>
    <s v="Little"/>
    <s v="Little"/>
    <n v="2462"/>
    <n v="18"/>
    <s v="Furniture/Equipment"/>
    <x v="0"/>
    <x v="1"/>
    <x v="2"/>
  </r>
  <r>
    <n v="23"/>
    <s v="Female"/>
    <n v="2"/>
    <s v="Own"/>
    <s v="Little"/>
    <s v="Unknown"/>
    <n v="2288"/>
    <n v="21"/>
    <s v="Furniture/Equipment"/>
    <x v="0"/>
    <x v="1"/>
    <x v="2"/>
  </r>
  <r>
    <n v="30"/>
    <s v="Male"/>
    <n v="2"/>
    <s v="Own"/>
    <s v="Moderate"/>
    <s v="Moderate"/>
    <n v="3566"/>
    <n v="48"/>
    <s v="Business"/>
    <x v="1"/>
    <x v="2"/>
    <x v="1"/>
  </r>
  <r>
    <n v="39"/>
    <s v="Female"/>
    <n v="2"/>
    <s v="Own"/>
    <s v="Little"/>
    <s v="Little"/>
    <n v="860"/>
    <n v="6"/>
    <s v="Car"/>
    <x v="0"/>
    <x v="2"/>
    <x v="0"/>
  </r>
  <r>
    <n v="51"/>
    <s v="Female"/>
    <n v="2"/>
    <s v="Own"/>
    <s v="Moderate"/>
    <s v="Unknown"/>
    <n v="682"/>
    <n v="12"/>
    <s v="Car"/>
    <x v="0"/>
    <x v="0"/>
    <x v="2"/>
  </r>
  <r>
    <n v="28"/>
    <s v="Male"/>
    <n v="2"/>
    <s v="Own"/>
    <s v="Little"/>
    <s v="Little"/>
    <n v="5371"/>
    <n v="36"/>
    <s v="Furniture/Equipment"/>
    <x v="2"/>
    <x v="1"/>
    <x v="1"/>
  </r>
  <r>
    <n v="46"/>
    <s v="Male"/>
    <n v="2"/>
    <s v="Own"/>
    <s v="rich"/>
    <s v="Unknown"/>
    <n v="1582"/>
    <n v="18"/>
    <s v="Radio/TV"/>
    <x v="0"/>
    <x v="2"/>
    <x v="2"/>
  </r>
  <r>
    <n v="42"/>
    <s v="Male"/>
    <n v="2"/>
    <s v="Free"/>
    <s v="Moderate"/>
    <s v="Unknown"/>
    <n v="1346"/>
    <n v="6"/>
    <s v="Radio/TV"/>
    <x v="0"/>
    <x v="2"/>
    <x v="0"/>
  </r>
  <r>
    <n v="38"/>
    <s v="Male"/>
    <n v="2"/>
    <s v="Own"/>
    <s v="Little"/>
    <s v="Unknown"/>
    <n v="1924"/>
    <n v="10"/>
    <s v="Radio/TV"/>
    <x v="0"/>
    <x v="2"/>
    <x v="0"/>
  </r>
  <r>
    <n v="24"/>
    <s v="Male"/>
    <n v="2"/>
    <s v="Own"/>
    <s v="Little"/>
    <s v="rich"/>
    <n v="5848"/>
    <n v="36"/>
    <s v="Radio/TV"/>
    <x v="2"/>
    <x v="1"/>
    <x v="1"/>
  </r>
  <r>
    <n v="29"/>
    <s v="Female"/>
    <n v="2"/>
    <s v="Rent"/>
    <s v="rich"/>
    <s v="Moderate"/>
    <n v="7758"/>
    <n v="24"/>
    <s v="Car"/>
    <x v="1"/>
    <x v="1"/>
    <x v="2"/>
  </r>
  <r>
    <n v="36"/>
    <s v="Male"/>
    <n v="3"/>
    <s v="Rent"/>
    <s v="Moderate"/>
    <s v="Moderate"/>
    <n v="6967"/>
    <n v="24"/>
    <s v="Business"/>
    <x v="0"/>
    <x v="2"/>
    <x v="2"/>
  </r>
  <r>
    <n v="20"/>
    <s v="Female"/>
    <n v="2"/>
    <s v="Rent"/>
    <s v="Little"/>
    <s v="Little"/>
    <n v="1282"/>
    <n v="12"/>
    <s v="Furniture/Equipment"/>
    <x v="0"/>
    <x v="1"/>
    <x v="2"/>
  </r>
  <r>
    <n v="48"/>
    <s v="Male"/>
    <n v="2"/>
    <s v="Own"/>
    <s v="Moderate"/>
    <s v="Little"/>
    <n v="1288"/>
    <n v="9"/>
    <s v="Repairs"/>
    <x v="0"/>
    <x v="2"/>
    <x v="0"/>
  </r>
  <r>
    <n v="45"/>
    <s v="Male"/>
    <n v="1"/>
    <s v="Own"/>
    <s v="Little"/>
    <s v="Little"/>
    <n v="339"/>
    <n v="12"/>
    <s v="Education"/>
    <x v="0"/>
    <x v="2"/>
    <x v="2"/>
  </r>
  <r>
    <n v="38"/>
    <s v="Male"/>
    <n v="2"/>
    <s v="Own"/>
    <s v="Moderate"/>
    <s v="Moderate"/>
    <n v="3512"/>
    <n v="24"/>
    <s v="Car"/>
    <x v="0"/>
    <x v="2"/>
    <x v="2"/>
  </r>
  <r>
    <n v="34"/>
    <s v="Male"/>
    <n v="1"/>
    <s v="Own"/>
    <s v="Unknown"/>
    <s v="Unknown"/>
    <n v="1898"/>
    <n v="6"/>
    <s v="Radio/TV"/>
    <x v="0"/>
    <x v="2"/>
    <x v="0"/>
  </r>
  <r>
    <n v="36"/>
    <s v="Male"/>
    <n v="2"/>
    <s v="Own"/>
    <s v="Moderate"/>
    <s v="Unknown"/>
    <n v="2872"/>
    <n v="24"/>
    <s v="Radio/TV"/>
    <x v="0"/>
    <x v="2"/>
    <x v="2"/>
  </r>
  <r>
    <n v="30"/>
    <s v="Female"/>
    <n v="2"/>
    <s v="Own"/>
    <s v="Little"/>
    <s v="Unknown"/>
    <n v="1055"/>
    <n v="18"/>
    <s v="Car"/>
    <x v="0"/>
    <x v="2"/>
    <x v="2"/>
  </r>
  <r>
    <n v="36"/>
    <s v="Male"/>
    <n v="2"/>
    <s v="Own"/>
    <s v="Quite rich"/>
    <s v="Unknown"/>
    <n v="1262"/>
    <n v="15"/>
    <s v="Domestic appliances"/>
    <x v="0"/>
    <x v="2"/>
    <x v="2"/>
  </r>
  <r>
    <n v="70"/>
    <s v="Male"/>
    <n v="3"/>
    <s v="Free"/>
    <s v="Little"/>
    <s v="Moderate"/>
    <n v="7308"/>
    <n v="10"/>
    <s v="Car"/>
    <x v="1"/>
    <x v="0"/>
    <x v="0"/>
  </r>
  <r>
    <n v="36"/>
    <s v="Male"/>
    <n v="2"/>
    <s v="Own"/>
    <s v="Quite rich"/>
    <s v="Unknown"/>
    <n v="909"/>
    <n v="36"/>
    <s v="Car"/>
    <x v="0"/>
    <x v="2"/>
    <x v="1"/>
  </r>
  <r>
    <n v="32"/>
    <s v="Male"/>
    <n v="2"/>
    <s v="Own"/>
    <s v="Quite rich"/>
    <s v="Unknown"/>
    <n v="2978"/>
    <n v="6"/>
    <s v="Furniture/Equipment"/>
    <x v="0"/>
    <x v="2"/>
    <x v="0"/>
  </r>
  <r>
    <n v="33"/>
    <s v="Female"/>
    <n v="2"/>
    <s v="Own"/>
    <s v="Little"/>
    <s v="Little"/>
    <n v="1131"/>
    <n v="18"/>
    <s v="Furniture/Equipment"/>
    <x v="0"/>
    <x v="2"/>
    <x v="2"/>
  </r>
  <r>
    <n v="20"/>
    <s v="Female"/>
    <n v="2"/>
    <s v="Own"/>
    <s v="rich"/>
    <s v="Moderate"/>
    <n v="1577"/>
    <n v="11"/>
    <s v="Furniture/Equipment"/>
    <x v="0"/>
    <x v="1"/>
    <x v="0"/>
  </r>
  <r>
    <n v="25"/>
    <s v="Female"/>
    <n v="2"/>
    <s v="Rent"/>
    <s v="Little"/>
    <s v="Unknown"/>
    <n v="3972"/>
    <n v="24"/>
    <s v="Furniture/Equipment"/>
    <x v="0"/>
    <x v="1"/>
    <x v="2"/>
  </r>
  <r>
    <n v="31"/>
    <s v="Male"/>
    <n v="2"/>
    <s v="Own"/>
    <s v="Little"/>
    <s v="Moderate"/>
    <n v="1935"/>
    <n v="24"/>
    <s v="Business"/>
    <x v="0"/>
    <x v="2"/>
    <x v="2"/>
  </r>
  <r>
    <n v="33"/>
    <s v="Male"/>
    <n v="2"/>
    <s v="Rent"/>
    <s v="Little"/>
    <s v="Little"/>
    <n v="950"/>
    <n v="15"/>
    <s v="Car"/>
    <x v="0"/>
    <x v="2"/>
    <x v="2"/>
  </r>
  <r>
    <n v="26"/>
    <s v="Female"/>
    <n v="2"/>
    <s v="Own"/>
    <s v="Little"/>
    <s v="Unknown"/>
    <n v="763"/>
    <n v="12"/>
    <s v="Furniture/Equipment"/>
    <x v="0"/>
    <x v="1"/>
    <x v="2"/>
  </r>
  <r>
    <n v="34"/>
    <s v="Female"/>
    <n v="3"/>
    <s v="Own"/>
    <s v="Little"/>
    <s v="Moderate"/>
    <n v="2064"/>
    <n v="24"/>
    <s v="Furniture/Equipment"/>
    <x v="0"/>
    <x v="2"/>
    <x v="2"/>
  </r>
  <r>
    <n v="33"/>
    <s v="Male"/>
    <n v="2"/>
    <s v="Own"/>
    <s v="Little"/>
    <s v="Moderate"/>
    <n v="1414"/>
    <n v="8"/>
    <s v="Radio/TV"/>
    <x v="0"/>
    <x v="2"/>
    <x v="0"/>
  </r>
  <r>
    <n v="26"/>
    <s v="Male"/>
    <n v="2"/>
    <s v="Own"/>
    <s v="Little"/>
    <s v="Little"/>
    <n v="3414"/>
    <n v="21"/>
    <s v="Education"/>
    <x v="0"/>
    <x v="1"/>
    <x v="2"/>
  </r>
  <r>
    <n v="53"/>
    <s v="Female"/>
    <n v="3"/>
    <s v="Own"/>
    <s v="Unknown"/>
    <s v="Unknown"/>
    <n v="7485"/>
    <n v="30"/>
    <s v="Car"/>
    <x v="1"/>
    <x v="0"/>
    <x v="2"/>
  </r>
  <r>
    <n v="42"/>
    <s v="Male"/>
    <n v="2"/>
    <s v="Own"/>
    <s v="Little"/>
    <s v="Little"/>
    <n v="2577"/>
    <n v="12"/>
    <s v="Furniture/Equipment"/>
    <x v="0"/>
    <x v="2"/>
    <x v="2"/>
  </r>
  <r>
    <n v="52"/>
    <s v="Male"/>
    <n v="2"/>
    <s v="Own"/>
    <s v="Quite rich"/>
    <s v="Little"/>
    <n v="338"/>
    <n v="6"/>
    <s v="Radio/TV"/>
    <x v="0"/>
    <x v="0"/>
    <x v="0"/>
  </r>
  <r>
    <n v="31"/>
    <s v="Male"/>
    <n v="3"/>
    <s v="Rent"/>
    <s v="Little"/>
    <s v="Unknown"/>
    <n v="1963"/>
    <n v="12"/>
    <s v="Radio/TV"/>
    <x v="0"/>
    <x v="2"/>
    <x v="2"/>
  </r>
  <r>
    <n v="65"/>
    <s v="Male"/>
    <n v="2"/>
    <s v="Own"/>
    <s v="Little"/>
    <s v="Little"/>
    <n v="571"/>
    <n v="21"/>
    <s v="Car"/>
    <x v="0"/>
    <x v="0"/>
    <x v="2"/>
  </r>
  <r>
    <n v="28"/>
    <s v="Male"/>
    <n v="2"/>
    <s v="Own"/>
    <s v="Little"/>
    <s v="Unknown"/>
    <n v="9572"/>
    <n v="36"/>
    <s v="Business"/>
    <x v="1"/>
    <x v="1"/>
    <x v="1"/>
  </r>
  <r>
    <n v="30"/>
    <s v="Male"/>
    <n v="3"/>
    <s v="Own"/>
    <s v="Little"/>
    <s v="Moderate"/>
    <n v="4455"/>
    <n v="36"/>
    <s v="Business"/>
    <x v="2"/>
    <x v="2"/>
    <x v="1"/>
  </r>
  <r>
    <n v="40"/>
    <s v="Male"/>
    <n v="1"/>
    <s v="Own"/>
    <s v="Unknown"/>
    <s v="Little"/>
    <n v="1647"/>
    <n v="21"/>
    <s v="Car"/>
    <x v="0"/>
    <x v="2"/>
    <x v="2"/>
  </r>
  <r>
    <n v="50"/>
    <s v="Male"/>
    <n v="2"/>
    <s v="Own"/>
    <s v="rich"/>
    <s v="Unknown"/>
    <n v="3777"/>
    <n v="24"/>
    <s v="Furniture/Equipment"/>
    <x v="0"/>
    <x v="2"/>
    <x v="2"/>
  </r>
  <r>
    <n v="36"/>
    <s v="Male"/>
    <n v="2"/>
    <s v="Own"/>
    <s v="Little"/>
    <s v="Moderate"/>
    <n v="884"/>
    <n v="18"/>
    <s v="Car"/>
    <x v="0"/>
    <x v="2"/>
    <x v="2"/>
  </r>
  <r>
    <n v="31"/>
    <s v="Male"/>
    <n v="2"/>
    <s v="Own"/>
    <s v="Little"/>
    <s v="Unknown"/>
    <n v="1360"/>
    <n v="15"/>
    <s v="Radio/TV"/>
    <x v="0"/>
    <x v="2"/>
    <x v="2"/>
  </r>
  <r>
    <n v="74"/>
    <s v="Female"/>
    <n v="3"/>
    <s v="Free"/>
    <s v="Little"/>
    <s v="Moderate"/>
    <n v="5129"/>
    <n v="9"/>
    <s v="Car"/>
    <x v="0"/>
    <x v="0"/>
    <x v="0"/>
  </r>
  <r>
    <n v="68"/>
    <s v="Male"/>
    <n v="0"/>
    <s v="Free"/>
    <s v="Little"/>
    <s v="Moderate"/>
    <n v="1175"/>
    <n v="16"/>
    <s v="Car"/>
    <x v="0"/>
    <x v="0"/>
    <x v="2"/>
  </r>
  <r>
    <n v="20"/>
    <s v="Male"/>
    <n v="2"/>
    <s v="Own"/>
    <s v="Moderate"/>
    <s v="Little"/>
    <n v="674"/>
    <n v="12"/>
    <s v="Radio/TV"/>
    <x v="0"/>
    <x v="1"/>
    <x v="2"/>
  </r>
  <r>
    <n v="33"/>
    <s v="Female"/>
    <n v="2"/>
    <s v="Own"/>
    <s v="Little"/>
    <s v="Moderate"/>
    <n v="3244"/>
    <n v="18"/>
    <s v="Furniture/Equipment"/>
    <x v="0"/>
    <x v="2"/>
    <x v="2"/>
  </r>
  <r>
    <n v="54"/>
    <s v="Male"/>
    <n v="3"/>
    <s v="Own"/>
    <s v="rich"/>
    <s v="Unknown"/>
    <n v="4591"/>
    <n v="24"/>
    <s v="Business"/>
    <x v="0"/>
    <x v="0"/>
    <x v="2"/>
  </r>
  <r>
    <n v="34"/>
    <s v="Male"/>
    <n v="1"/>
    <s v="Free"/>
    <s v="Moderate"/>
    <s v="Moderate"/>
    <n v="3844"/>
    <n v="48"/>
    <s v="Business"/>
    <x v="1"/>
    <x v="2"/>
    <x v="1"/>
  </r>
  <r>
    <n v="36"/>
    <s v="Male"/>
    <n v="2"/>
    <s v="Own"/>
    <s v="Little"/>
    <s v="Moderate"/>
    <n v="3915"/>
    <n v="27"/>
    <s v="Business"/>
    <x v="0"/>
    <x v="2"/>
    <x v="2"/>
  </r>
  <r>
    <n v="29"/>
    <s v="Male"/>
    <n v="2"/>
    <s v="Rent"/>
    <s v="Little"/>
    <s v="Unknown"/>
    <n v="2108"/>
    <n v="6"/>
    <s v="Radio/TV"/>
    <x v="0"/>
    <x v="1"/>
    <x v="0"/>
  </r>
  <r>
    <n v="21"/>
    <s v="Male"/>
    <n v="2"/>
    <s v="Rent"/>
    <s v="Moderate"/>
    <s v="Moderate"/>
    <n v="3031"/>
    <n v="45"/>
    <s v="Radio/TV"/>
    <x v="1"/>
    <x v="1"/>
    <x v="1"/>
  </r>
  <r>
    <n v="34"/>
    <s v="Female"/>
    <n v="3"/>
    <s v="Own"/>
    <s v="Little"/>
    <s v="Moderate"/>
    <n v="1501"/>
    <n v="9"/>
    <s v="Education"/>
    <x v="0"/>
    <x v="2"/>
    <x v="0"/>
  </r>
  <r>
    <n v="28"/>
    <s v="Female"/>
    <n v="2"/>
    <s v="Own"/>
    <s v="Little"/>
    <s v="Unknown"/>
    <n v="1382"/>
    <n v="6"/>
    <s v="Radio/TV"/>
    <x v="0"/>
    <x v="1"/>
    <x v="0"/>
  </r>
  <r>
    <n v="27"/>
    <s v="Female"/>
    <n v="2"/>
    <s v="Rent"/>
    <s v="Moderate"/>
    <s v="Moderate"/>
    <n v="951"/>
    <n v="12"/>
    <s v="Furniture/Equipment"/>
    <x v="0"/>
    <x v="1"/>
    <x v="2"/>
  </r>
  <r>
    <n v="36"/>
    <s v="Male"/>
    <n v="2"/>
    <s v="Free"/>
    <s v="Unknown"/>
    <s v="Moderate"/>
    <n v="2760"/>
    <n v="24"/>
    <s v="Car"/>
    <x v="0"/>
    <x v="2"/>
    <x v="2"/>
  </r>
  <r>
    <n v="40"/>
    <s v="Male"/>
    <n v="3"/>
    <s v="Own"/>
    <s v="Little"/>
    <s v="Moderate"/>
    <n v="4297"/>
    <n v="18"/>
    <s v="Furniture/Equipment"/>
    <x v="0"/>
    <x v="2"/>
    <x v="2"/>
  </r>
  <r>
    <n v="52"/>
    <s v="Male"/>
    <n v="2"/>
    <s v="Own"/>
    <s v="Quite rich"/>
    <s v="Unknown"/>
    <n v="936"/>
    <n v="9"/>
    <s v="Education"/>
    <x v="0"/>
    <x v="0"/>
    <x v="0"/>
  </r>
  <r>
    <n v="27"/>
    <s v="Male"/>
    <n v="1"/>
    <s v="Own"/>
    <s v="Little"/>
    <s v="Little"/>
    <n v="1168"/>
    <n v="12"/>
    <s v="Car"/>
    <x v="0"/>
    <x v="1"/>
    <x v="2"/>
  </r>
  <r>
    <n v="26"/>
    <s v="Male"/>
    <n v="2"/>
    <s v="Own"/>
    <s v="Little"/>
    <s v="Unknown"/>
    <n v="5117"/>
    <n v="27"/>
    <s v="Business"/>
    <x v="2"/>
    <x v="1"/>
    <x v="2"/>
  </r>
  <r>
    <n v="21"/>
    <s v="Male"/>
    <n v="2"/>
    <s v="Rent"/>
    <s v="Little"/>
    <s v="Little"/>
    <n v="902"/>
    <n v="12"/>
    <s v="Education"/>
    <x v="0"/>
    <x v="1"/>
    <x v="2"/>
  </r>
  <r>
    <n v="38"/>
    <s v="Male"/>
    <n v="1"/>
    <s v="Own"/>
    <s v="Little"/>
    <s v="Unknown"/>
    <n v="1495"/>
    <n v="12"/>
    <s v="Car"/>
    <x v="0"/>
    <x v="2"/>
    <x v="2"/>
  </r>
  <r>
    <n v="38"/>
    <s v="Male"/>
    <n v="3"/>
    <s v="Free"/>
    <s v="Little"/>
    <s v="Little"/>
    <n v="10623"/>
    <n v="30"/>
    <s v="Car"/>
    <x v="1"/>
    <x v="2"/>
    <x v="2"/>
  </r>
  <r>
    <n v="43"/>
    <s v="Male"/>
    <n v="2"/>
    <s v="Own"/>
    <s v="Little"/>
    <s v="Unknown"/>
    <n v="1935"/>
    <n v="12"/>
    <s v="Furniture/Equipment"/>
    <x v="0"/>
    <x v="2"/>
    <x v="2"/>
  </r>
  <r>
    <n v="26"/>
    <s v="Male"/>
    <n v="2"/>
    <s v="Own"/>
    <s v="Little"/>
    <s v="Moderate"/>
    <n v="1424"/>
    <n v="12"/>
    <s v="Domestic appliances"/>
    <x v="0"/>
    <x v="1"/>
    <x v="2"/>
  </r>
  <r>
    <n v="21"/>
    <s v="Male"/>
    <n v="1"/>
    <s v="Own"/>
    <s v="Little"/>
    <s v="Little"/>
    <n v="6568"/>
    <n v="24"/>
    <s v="Business"/>
    <x v="0"/>
    <x v="1"/>
    <x v="2"/>
  </r>
  <r>
    <n v="55"/>
    <s v="Male"/>
    <n v="2"/>
    <s v="Own"/>
    <s v="rich"/>
    <s v="Unknown"/>
    <n v="1413"/>
    <n v="12"/>
    <s v="Car"/>
    <x v="0"/>
    <x v="0"/>
    <x v="2"/>
  </r>
  <r>
    <n v="33"/>
    <s v="Male"/>
    <n v="2"/>
    <s v="Own"/>
    <s v="Unknown"/>
    <s v="Unknown"/>
    <n v="3074"/>
    <n v="9"/>
    <s v="Radio/TV"/>
    <x v="0"/>
    <x v="2"/>
    <x v="0"/>
  </r>
  <r>
    <n v="45"/>
    <s v="Female"/>
    <n v="1"/>
    <s v="Own"/>
    <s v="Unknown"/>
    <s v="Unknown"/>
    <n v="3835"/>
    <n v="36"/>
    <s v="Radio/TV"/>
    <x v="0"/>
    <x v="2"/>
    <x v="1"/>
  </r>
  <r>
    <n v="50"/>
    <s v="Male"/>
    <n v="2"/>
    <s v="Own"/>
    <s v="Little"/>
    <s v="Little"/>
    <n v="5293"/>
    <n v="27"/>
    <s v="Business"/>
    <x v="2"/>
    <x v="2"/>
    <x v="2"/>
  </r>
  <r>
    <n v="66"/>
    <s v="Male"/>
    <n v="3"/>
    <s v="Own"/>
    <s v="Little"/>
    <s v="rich"/>
    <n v="1908"/>
    <n v="30"/>
    <s v="Business"/>
    <x v="0"/>
    <x v="0"/>
    <x v="2"/>
  </r>
  <r>
    <n v="51"/>
    <s v="Male"/>
    <n v="2"/>
    <s v="Own"/>
    <s v="Unknown"/>
    <s v="Unknown"/>
    <n v="3342"/>
    <n v="36"/>
    <s v="Radio/TV"/>
    <x v="0"/>
    <x v="0"/>
    <x v="1"/>
  </r>
  <r>
    <n v="39"/>
    <s v="Female"/>
    <n v="1"/>
    <s v="Own"/>
    <s v="Unknown"/>
    <s v="Moderate"/>
    <n v="932"/>
    <n v="6"/>
    <s v="Education"/>
    <x v="0"/>
    <x v="2"/>
    <x v="0"/>
  </r>
  <r>
    <n v="31"/>
    <s v="Male"/>
    <n v="2"/>
    <s v="Own"/>
    <s v="Little"/>
    <s v="Little"/>
    <n v="3104"/>
    <n v="18"/>
    <s v="Business"/>
    <x v="0"/>
    <x v="2"/>
    <x v="2"/>
  </r>
  <r>
    <n v="23"/>
    <s v="Male"/>
    <n v="2"/>
    <s v="Own"/>
    <s v="Little"/>
    <s v="rich"/>
    <n v="3913"/>
    <n v="36"/>
    <s v="Radio/TV"/>
    <x v="0"/>
    <x v="1"/>
    <x v="1"/>
  </r>
  <r>
    <n v="24"/>
    <s v="Male"/>
    <n v="1"/>
    <s v="Rent"/>
    <s v="Little"/>
    <s v="Little"/>
    <n v="3021"/>
    <n v="24"/>
    <s v="Furniture/Equipment"/>
    <x v="0"/>
    <x v="1"/>
    <x v="2"/>
  </r>
  <r>
    <n v="64"/>
    <s v="Female"/>
    <n v="2"/>
    <s v="Own"/>
    <s v="Little"/>
    <s v="Unknown"/>
    <n v="1364"/>
    <n v="10"/>
    <s v="Car"/>
    <x v="0"/>
    <x v="0"/>
    <x v="0"/>
  </r>
  <r>
    <n v="26"/>
    <s v="Male"/>
    <n v="1"/>
    <s v="Own"/>
    <s v="Little"/>
    <s v="Moderate"/>
    <n v="625"/>
    <n v="12"/>
    <s v="Radio/TV"/>
    <x v="0"/>
    <x v="1"/>
    <x v="2"/>
  </r>
  <r>
    <n v="23"/>
    <s v="Female"/>
    <n v="2"/>
    <s v="Rent"/>
    <s v="Unknown"/>
    <s v="Little"/>
    <n v="1200"/>
    <n v="12"/>
    <s v="Education"/>
    <x v="0"/>
    <x v="1"/>
    <x v="2"/>
  </r>
  <r>
    <n v="30"/>
    <s v="Male"/>
    <n v="2"/>
    <s v="Own"/>
    <s v="Little"/>
    <s v="Unknown"/>
    <n v="707"/>
    <n v="12"/>
    <s v="Radio/TV"/>
    <x v="0"/>
    <x v="2"/>
    <x v="2"/>
  </r>
  <r>
    <n v="32"/>
    <s v="Male"/>
    <n v="2"/>
    <s v="Own"/>
    <s v="Unknown"/>
    <s v="Unknown"/>
    <n v="2978"/>
    <n v="24"/>
    <s v="Business"/>
    <x v="0"/>
    <x v="2"/>
    <x v="2"/>
  </r>
  <r>
    <n v="30"/>
    <s v="Male"/>
    <n v="2"/>
    <s v="Own"/>
    <s v="Little"/>
    <s v="Unknown"/>
    <n v="4657"/>
    <n v="15"/>
    <s v="Car"/>
    <x v="0"/>
    <x v="2"/>
    <x v="2"/>
  </r>
  <r>
    <n v="27"/>
    <s v="Male"/>
    <n v="2"/>
    <s v="Own"/>
    <s v="Little"/>
    <s v="Unknown"/>
    <n v="2613"/>
    <n v="36"/>
    <s v="Repairs"/>
    <x v="0"/>
    <x v="1"/>
    <x v="1"/>
  </r>
  <r>
    <n v="27"/>
    <s v="Male"/>
    <n v="2"/>
    <s v="Own"/>
    <s v="rich"/>
    <s v="Moderate"/>
    <n v="10961"/>
    <n v="48"/>
    <s v="Radio/TV"/>
    <x v="1"/>
    <x v="1"/>
    <x v="1"/>
  </r>
  <r>
    <n v="53"/>
    <s v="Male"/>
    <n v="3"/>
    <s v="Free"/>
    <s v="Little"/>
    <s v="Little"/>
    <n v="7865"/>
    <n v="12"/>
    <s v="Furniture/Equipment"/>
    <x v="1"/>
    <x v="0"/>
    <x v="2"/>
  </r>
  <r>
    <n v="22"/>
    <s v="Male"/>
    <n v="2"/>
    <s v="Own"/>
    <s v="Little"/>
    <s v="Unknown"/>
    <n v="1478"/>
    <n v="9"/>
    <s v="Radio/TV"/>
    <x v="0"/>
    <x v="1"/>
    <x v="0"/>
  </r>
  <r>
    <n v="22"/>
    <s v="Male"/>
    <n v="2"/>
    <s v="Free"/>
    <s v="Little"/>
    <s v="Little"/>
    <n v="3149"/>
    <n v="24"/>
    <s v="Furniture/Equipment"/>
    <x v="0"/>
    <x v="1"/>
    <x v="2"/>
  </r>
  <r>
    <n v="26"/>
    <s v="Male"/>
    <n v="2"/>
    <s v="Own"/>
    <s v="Little"/>
    <s v="rich"/>
    <n v="4210"/>
    <n v="36"/>
    <s v="Radio/TV"/>
    <x v="2"/>
    <x v="1"/>
    <x v="1"/>
  </r>
  <r>
    <n v="51"/>
    <s v="Male"/>
    <n v="1"/>
    <s v="Free"/>
    <s v="Quite rich"/>
    <s v="Unknown"/>
    <n v="2507"/>
    <n v="9"/>
    <s v="Car"/>
    <x v="0"/>
    <x v="0"/>
    <x v="0"/>
  </r>
  <r>
    <n v="35"/>
    <s v="Male"/>
    <n v="2"/>
    <s v="Own"/>
    <s v="Moderate"/>
    <s v="Unknown"/>
    <n v="2141"/>
    <n v="12"/>
    <s v="Radio/TV"/>
    <x v="0"/>
    <x v="2"/>
    <x v="2"/>
  </r>
  <r>
    <n v="25"/>
    <s v="Male"/>
    <n v="1"/>
    <s v="Own"/>
    <s v="Little"/>
    <s v="Moderate"/>
    <n v="866"/>
    <n v="18"/>
    <s v="Radio/TV"/>
    <x v="0"/>
    <x v="1"/>
    <x v="2"/>
  </r>
  <r>
    <n v="42"/>
    <s v="Male"/>
    <n v="1"/>
    <s v="Own"/>
    <s v="Little"/>
    <s v="Unknown"/>
    <n v="1544"/>
    <n v="4"/>
    <s v="Radio/TV"/>
    <x v="0"/>
    <x v="2"/>
    <x v="0"/>
  </r>
  <r>
    <n v="30"/>
    <s v="Male"/>
    <n v="3"/>
    <s v="Own"/>
    <s v="Little"/>
    <s v="Little"/>
    <n v="1823"/>
    <n v="24"/>
    <s v="Radio/TV"/>
    <x v="0"/>
    <x v="2"/>
    <x v="2"/>
  </r>
  <r>
    <n v="23"/>
    <s v="Male"/>
    <n v="0"/>
    <s v="Own"/>
    <s v="Unknown"/>
    <s v="Moderate"/>
    <n v="14555"/>
    <n v="6"/>
    <s v="Car"/>
    <x v="1"/>
    <x v="1"/>
    <x v="0"/>
  </r>
  <r>
    <n v="61"/>
    <s v="Male"/>
    <n v="1"/>
    <s v="Rent"/>
    <s v="Moderate"/>
    <s v="Moderate"/>
    <n v="2767"/>
    <n v="21"/>
    <s v="Business"/>
    <x v="0"/>
    <x v="0"/>
    <x v="2"/>
  </r>
  <r>
    <n v="35"/>
    <s v="Female"/>
    <n v="2"/>
    <s v="Own"/>
    <s v="Little"/>
    <s v="Unknown"/>
    <n v="1291"/>
    <n v="12"/>
    <s v="Radio/TV"/>
    <x v="0"/>
    <x v="2"/>
    <x v="2"/>
  </r>
  <r>
    <n v="39"/>
    <s v="Male"/>
    <n v="2"/>
    <s v="Own"/>
    <s v="Little"/>
    <s v="Little"/>
    <n v="2522"/>
    <n v="30"/>
    <s v="Radio/TV"/>
    <x v="0"/>
    <x v="2"/>
    <x v="2"/>
  </r>
  <r>
    <n v="29"/>
    <s v="Female"/>
    <n v="2"/>
    <s v="Own"/>
    <s v="Unknown"/>
    <s v="Little"/>
    <n v="915"/>
    <n v="24"/>
    <s v="Car"/>
    <x v="0"/>
    <x v="1"/>
    <x v="2"/>
  </r>
  <r>
    <n v="51"/>
    <s v="Male"/>
    <n v="2"/>
    <s v="Own"/>
    <s v="Little"/>
    <s v="Unknown"/>
    <n v="1595"/>
    <n v="6"/>
    <s v="Radio/TV"/>
    <x v="0"/>
    <x v="0"/>
    <x v="0"/>
  </r>
  <r>
    <n v="24"/>
    <s v="Male"/>
    <n v="2"/>
    <s v="Free"/>
    <s v="Little"/>
    <s v="Little"/>
    <n v="4605"/>
    <n v="48"/>
    <s v="Car"/>
    <x v="1"/>
    <x v="1"/>
    <x v="1"/>
  </r>
  <r>
    <n v="27"/>
    <s v="Female"/>
    <n v="2"/>
    <s v="Own"/>
    <s v="Little"/>
    <s v="Unknown"/>
    <n v="1185"/>
    <n v="12"/>
    <s v="Business"/>
    <x v="0"/>
    <x v="1"/>
    <x v="2"/>
  </r>
  <r>
    <n v="35"/>
    <s v="Female"/>
    <n v="1"/>
    <s v="Own"/>
    <s v="Quite rich"/>
    <s v="Unknown"/>
    <n v="3447"/>
    <n v="12"/>
    <s v="Education"/>
    <x v="0"/>
    <x v="2"/>
    <x v="2"/>
  </r>
  <r>
    <n v="25"/>
    <s v="Male"/>
    <n v="2"/>
    <s v="Own"/>
    <s v="Little"/>
    <s v="Unknown"/>
    <n v="1258"/>
    <n v="24"/>
    <s v="Business"/>
    <x v="0"/>
    <x v="1"/>
    <x v="2"/>
  </r>
  <r>
    <n v="52"/>
    <s v="Male"/>
    <n v="2"/>
    <s v="Own"/>
    <s v="Little"/>
    <s v="Unknown"/>
    <n v="717"/>
    <n v="12"/>
    <s v="Radio/TV"/>
    <x v="0"/>
    <x v="0"/>
    <x v="2"/>
  </r>
  <r>
    <n v="35"/>
    <s v="Male"/>
    <n v="2"/>
    <s v="Rent"/>
    <s v="Moderate"/>
    <s v="Unknown"/>
    <n v="1204"/>
    <n v="6"/>
    <s v="Car"/>
    <x v="0"/>
    <x v="2"/>
    <x v="0"/>
  </r>
  <r>
    <n v="26"/>
    <s v="Male"/>
    <n v="2"/>
    <s v="Own"/>
    <s v="Little"/>
    <s v="rich"/>
    <n v="1925"/>
    <n v="24"/>
    <s v="Furniture/Equipment"/>
    <x v="0"/>
    <x v="1"/>
    <x v="2"/>
  </r>
  <r>
    <n v="22"/>
    <s v="Female"/>
    <n v="2"/>
    <s v="Rent"/>
    <s v="Little"/>
    <s v="Unknown"/>
    <n v="433"/>
    <n v="18"/>
    <s v="Radio/TV"/>
    <x v="0"/>
    <x v="1"/>
    <x v="2"/>
  </r>
  <r>
    <n v="39"/>
    <s v="Female"/>
    <n v="1"/>
    <s v="Own"/>
    <s v="rich"/>
    <s v="Little"/>
    <n v="666"/>
    <n v="6"/>
    <s v="Car"/>
    <x v="0"/>
    <x v="2"/>
    <x v="0"/>
  </r>
  <r>
    <n v="46"/>
    <s v="Female"/>
    <n v="1"/>
    <s v="Own"/>
    <s v="Little"/>
    <s v="rich"/>
    <n v="2251"/>
    <n v="12"/>
    <s v="Furniture/Equipment"/>
    <x v="0"/>
    <x v="2"/>
    <x v="2"/>
  </r>
  <r>
    <n v="24"/>
    <s v="Female"/>
    <n v="2"/>
    <s v="Own"/>
    <s v="Little"/>
    <s v="Moderate"/>
    <n v="2150"/>
    <n v="30"/>
    <s v="Car"/>
    <x v="0"/>
    <x v="1"/>
    <x v="2"/>
  </r>
  <r>
    <n v="35"/>
    <s v="Male"/>
    <n v="2"/>
    <s v="Own"/>
    <s v="Moderate"/>
    <s v="Unknown"/>
    <n v="4151"/>
    <n v="24"/>
    <s v="Furniture/Equipment"/>
    <x v="0"/>
    <x v="2"/>
    <x v="2"/>
  </r>
  <r>
    <n v="24"/>
    <s v="Male"/>
    <n v="2"/>
    <s v="Own"/>
    <s v="Unknown"/>
    <s v="Moderate"/>
    <n v="2030"/>
    <n v="9"/>
    <s v="Furniture/Equipment"/>
    <x v="0"/>
    <x v="1"/>
    <x v="0"/>
  </r>
  <r>
    <n v="27"/>
    <s v="Male"/>
    <n v="1"/>
    <s v="Own"/>
    <s v="Unknown"/>
    <s v="Moderate"/>
    <n v="7418"/>
    <n v="60"/>
    <s v="Radio/TV"/>
    <x v="1"/>
    <x v="1"/>
    <x v="1"/>
  </r>
  <r>
    <n v="35"/>
    <s v="Male"/>
    <n v="1"/>
    <s v="Own"/>
    <s v="Little"/>
    <s v="Unknown"/>
    <n v="2684"/>
    <n v="24"/>
    <s v="Radio/TV"/>
    <x v="0"/>
    <x v="2"/>
    <x v="2"/>
  </r>
  <r>
    <n v="29"/>
    <s v="Male"/>
    <n v="2"/>
    <s v="Free"/>
    <s v="Little"/>
    <s v="Little"/>
    <n v="2149"/>
    <n v="12"/>
    <s v="Radio/TV"/>
    <x v="0"/>
    <x v="1"/>
    <x v="2"/>
  </r>
  <r>
    <n v="23"/>
    <s v="Female"/>
    <n v="2"/>
    <s v="Own"/>
    <s v="Moderate"/>
    <s v="Unknown"/>
    <n v="3812"/>
    <n v="15"/>
    <s v="Car"/>
    <x v="0"/>
    <x v="1"/>
    <x v="2"/>
  </r>
  <r>
    <n v="57"/>
    <s v="Female"/>
    <n v="1"/>
    <s v="Own"/>
    <s v="Moderate"/>
    <s v="Unknown"/>
    <n v="1154"/>
    <n v="11"/>
    <s v="Radio/TV"/>
    <x v="0"/>
    <x v="0"/>
    <x v="0"/>
  </r>
  <r>
    <n v="27"/>
    <s v="Male"/>
    <n v="2"/>
    <s v="Own"/>
    <s v="Little"/>
    <s v="Little"/>
    <n v="1657"/>
    <n v="12"/>
    <s v="Furniture/Equipment"/>
    <x v="0"/>
    <x v="1"/>
    <x v="2"/>
  </r>
  <r>
    <n v="55"/>
    <s v="Female"/>
    <n v="2"/>
    <s v="Own"/>
    <s v="Little"/>
    <s v="Little"/>
    <n v="1603"/>
    <n v="24"/>
    <s v="Radio/TV"/>
    <x v="0"/>
    <x v="0"/>
    <x v="2"/>
  </r>
  <r>
    <n v="36"/>
    <s v="Male"/>
    <n v="3"/>
    <s v="Free"/>
    <s v="Little"/>
    <s v="Little"/>
    <n v="5302"/>
    <n v="18"/>
    <s v="Car"/>
    <x v="0"/>
    <x v="2"/>
    <x v="2"/>
  </r>
  <r>
    <n v="57"/>
    <s v="Female"/>
    <n v="1"/>
    <s v="Free"/>
    <s v="Little"/>
    <s v="Unknown"/>
    <n v="2748"/>
    <n v="12"/>
    <s v="Education"/>
    <x v="0"/>
    <x v="0"/>
    <x v="2"/>
  </r>
  <r>
    <n v="32"/>
    <s v="Male"/>
    <n v="1"/>
    <s v="Own"/>
    <s v="Little"/>
    <s v="Unknown"/>
    <n v="1231"/>
    <n v="10"/>
    <s v="Car"/>
    <x v="0"/>
    <x v="2"/>
    <x v="0"/>
  </r>
  <r>
    <n v="37"/>
    <s v="Male"/>
    <n v="2"/>
    <s v="Own"/>
    <s v="Little"/>
    <s v="Moderate"/>
    <n v="802"/>
    <n v="15"/>
    <s v="Radio/TV"/>
    <x v="0"/>
    <x v="2"/>
    <x v="2"/>
  </r>
  <r>
    <n v="36"/>
    <s v="Male"/>
    <n v="2"/>
    <s v="Own"/>
    <s v="Unknown"/>
    <s v="Unknown"/>
    <n v="6304"/>
    <n v="36"/>
    <s v="Business"/>
    <x v="2"/>
    <x v="2"/>
    <x v="1"/>
  </r>
  <r>
    <n v="38"/>
    <s v="Female"/>
    <n v="2"/>
    <s v="Own"/>
    <s v="Little"/>
    <s v="Unknown"/>
    <n v="1533"/>
    <n v="24"/>
    <s v="Radio/TV"/>
    <x v="0"/>
    <x v="2"/>
    <x v="2"/>
  </r>
  <r>
    <n v="45"/>
    <s v="Male"/>
    <n v="3"/>
    <s v="Own"/>
    <s v="Little"/>
    <s v="Little"/>
    <n v="8978"/>
    <n v="14"/>
    <s v="Car"/>
    <x v="1"/>
    <x v="2"/>
    <x v="2"/>
  </r>
  <r>
    <n v="25"/>
    <s v="Male"/>
    <n v="2"/>
    <s v="Own"/>
    <s v="Unknown"/>
    <s v="Unknown"/>
    <n v="999"/>
    <n v="24"/>
    <s v="Radio/TV"/>
    <x v="0"/>
    <x v="1"/>
    <x v="2"/>
  </r>
  <r>
    <n v="32"/>
    <s v="Male"/>
    <n v="2"/>
    <s v="Own"/>
    <s v="Unknown"/>
    <s v="Unknown"/>
    <n v="2662"/>
    <n v="18"/>
    <s v="Car"/>
    <x v="0"/>
    <x v="2"/>
    <x v="2"/>
  </r>
  <r>
    <n v="37"/>
    <s v="Female"/>
    <n v="2"/>
    <s v="Rent"/>
    <s v="Quite rich"/>
    <s v="Unknown"/>
    <n v="1402"/>
    <n v="12"/>
    <s v="Furniture/Equipment"/>
    <x v="0"/>
    <x v="2"/>
    <x v="2"/>
  </r>
  <r>
    <n v="36"/>
    <s v="Male"/>
    <n v="3"/>
    <s v="Free"/>
    <s v="Unknown"/>
    <s v="Moderate"/>
    <n v="12169"/>
    <n v="48"/>
    <s v="Car"/>
    <x v="1"/>
    <x v="2"/>
    <x v="1"/>
  </r>
  <r>
    <n v="28"/>
    <s v="Male"/>
    <n v="2"/>
    <s v="Own"/>
    <s v="Little"/>
    <s v="Moderate"/>
    <n v="3060"/>
    <n v="48"/>
    <s v="Radio/TV"/>
    <x v="1"/>
    <x v="1"/>
    <x v="1"/>
  </r>
  <r>
    <n v="34"/>
    <s v="Male"/>
    <n v="1"/>
    <s v="Own"/>
    <s v="Little"/>
    <s v="Little"/>
    <n v="11998"/>
    <n v="30"/>
    <s v="Repairs"/>
    <x v="1"/>
    <x v="2"/>
    <x v="2"/>
  </r>
  <r>
    <n v="32"/>
    <s v="Male"/>
    <n v="2"/>
    <s v="Own"/>
    <s v="Little"/>
    <s v="Unknown"/>
    <n v="2697"/>
    <n v="9"/>
    <s v="Radio/TV"/>
    <x v="0"/>
    <x v="2"/>
    <x v="0"/>
  </r>
  <r>
    <n v="26"/>
    <s v="Female"/>
    <n v="2"/>
    <s v="Own"/>
    <s v="Little"/>
    <s v="Unknown"/>
    <n v="2404"/>
    <n v="18"/>
    <s v="Radio/TV"/>
    <x v="0"/>
    <x v="1"/>
    <x v="2"/>
  </r>
  <r>
    <n v="49"/>
    <s v="Male"/>
    <n v="1"/>
    <s v="Own"/>
    <s v="Unknown"/>
    <s v="Little"/>
    <n v="1262"/>
    <n v="12"/>
    <s v="Furniture/Equipment"/>
    <x v="0"/>
    <x v="2"/>
    <x v="2"/>
  </r>
  <r>
    <n v="32"/>
    <s v="Female"/>
    <n v="2"/>
    <s v="Own"/>
    <s v="Little"/>
    <s v="Unknown"/>
    <n v="4611"/>
    <n v="6"/>
    <s v="Furniture/Equipment"/>
    <x v="0"/>
    <x v="2"/>
    <x v="0"/>
  </r>
  <r>
    <n v="29"/>
    <s v="Male"/>
    <n v="3"/>
    <s v="Rent"/>
    <s v="Moderate"/>
    <s v="Unknown"/>
    <n v="1901"/>
    <n v="24"/>
    <s v="Radio/TV"/>
    <x v="0"/>
    <x v="1"/>
    <x v="2"/>
  </r>
  <r>
    <n v="23"/>
    <s v="Male"/>
    <n v="2"/>
    <s v="Rent"/>
    <s v="rich"/>
    <s v="Unknown"/>
    <n v="3368"/>
    <n v="15"/>
    <s v="Car"/>
    <x v="0"/>
    <x v="1"/>
    <x v="2"/>
  </r>
  <r>
    <n v="50"/>
    <s v="Male"/>
    <n v="2"/>
    <s v="Own"/>
    <s v="Little"/>
    <s v="Unknown"/>
    <n v="1574"/>
    <n v="12"/>
    <s v="Furniture/Equipment"/>
    <x v="0"/>
    <x v="2"/>
    <x v="2"/>
  </r>
  <r>
    <n v="49"/>
    <s v="Male"/>
    <n v="1"/>
    <s v="Own"/>
    <s v="Unknown"/>
    <s v="rich"/>
    <n v="1445"/>
    <n v="18"/>
    <s v="Radio/TV"/>
    <x v="0"/>
    <x v="2"/>
    <x v="2"/>
  </r>
  <r>
    <n v="63"/>
    <s v="Male"/>
    <n v="2"/>
    <s v="Own"/>
    <s v="Unknown"/>
    <s v="Unknown"/>
    <n v="1520"/>
    <n v="15"/>
    <s v="Furniture/Equipment"/>
    <x v="0"/>
    <x v="0"/>
    <x v="2"/>
  </r>
  <r>
    <n v="37"/>
    <s v="Male"/>
    <n v="2"/>
    <s v="Own"/>
    <s v="Moderate"/>
    <s v="Moderate"/>
    <n v="3878"/>
    <n v="24"/>
    <s v="Car"/>
    <x v="0"/>
    <x v="2"/>
    <x v="2"/>
  </r>
  <r>
    <n v="35"/>
    <s v="Female"/>
    <n v="1"/>
    <s v="Own"/>
    <s v="Little"/>
    <s v="Little"/>
    <n v="10722"/>
    <n v="47"/>
    <s v="Car"/>
    <x v="1"/>
    <x v="2"/>
    <x v="1"/>
  </r>
  <r>
    <n v="26"/>
    <s v="Male"/>
    <n v="2"/>
    <s v="Own"/>
    <s v="Little"/>
    <s v="Little"/>
    <n v="4788"/>
    <n v="48"/>
    <s v="Car"/>
    <x v="1"/>
    <x v="1"/>
    <x v="1"/>
  </r>
  <r>
    <n v="31"/>
    <s v="Male"/>
    <n v="3"/>
    <s v="Free"/>
    <s v="Moderate"/>
    <s v="Moderate"/>
    <n v="7582"/>
    <n v="48"/>
    <s v="Vacation/Others"/>
    <x v="1"/>
    <x v="2"/>
    <x v="1"/>
  </r>
  <r>
    <n v="49"/>
    <s v="Female"/>
    <n v="2"/>
    <s v="Own"/>
    <s v="Little"/>
    <s v="Moderate"/>
    <n v="1092"/>
    <n v="12"/>
    <s v="Radio/TV"/>
    <x v="0"/>
    <x v="2"/>
    <x v="2"/>
  </r>
  <r>
    <n v="48"/>
    <s v="Male"/>
    <n v="2"/>
    <s v="Own"/>
    <s v="Little"/>
    <s v="Little"/>
    <n v="1024"/>
    <n v="24"/>
    <s v="Radio/TV"/>
    <x v="0"/>
    <x v="2"/>
    <x v="2"/>
  </r>
  <r>
    <n v="26"/>
    <s v="Male"/>
    <n v="2"/>
    <s v="Own"/>
    <s v="Little"/>
    <s v="Unknown"/>
    <n v="1076"/>
    <n v="12"/>
    <s v="Business"/>
    <x v="0"/>
    <x v="1"/>
    <x v="2"/>
  </r>
  <r>
    <n v="28"/>
    <s v="Male"/>
    <n v="3"/>
    <s v="Rent"/>
    <s v="Little"/>
    <s v="Moderate"/>
    <n v="9398"/>
    <n v="36"/>
    <s v="Car"/>
    <x v="1"/>
    <x v="1"/>
    <x v="1"/>
  </r>
  <r>
    <n v="44"/>
    <s v="Female"/>
    <n v="3"/>
    <s v="Free"/>
    <s v="Little"/>
    <s v="Little"/>
    <n v="6419"/>
    <n v="24"/>
    <s v="Car"/>
    <x v="0"/>
    <x v="2"/>
    <x v="2"/>
  </r>
  <r>
    <n v="56"/>
    <s v="Male"/>
    <n v="2"/>
    <s v="Free"/>
    <s v="Little"/>
    <s v="rich"/>
    <n v="4796"/>
    <n v="42"/>
    <s v="Car"/>
    <x v="1"/>
    <x v="0"/>
    <x v="1"/>
  </r>
  <r>
    <n v="46"/>
    <s v="Male"/>
    <n v="3"/>
    <s v="Own"/>
    <s v="Unknown"/>
    <s v="Unknown"/>
    <n v="7629"/>
    <n v="48"/>
    <s v="Business"/>
    <x v="1"/>
    <x v="2"/>
    <x v="1"/>
  </r>
  <r>
    <n v="26"/>
    <s v="Female"/>
    <n v="2"/>
    <s v="Own"/>
    <s v="Little"/>
    <s v="Moderate"/>
    <n v="9960"/>
    <n v="48"/>
    <s v="Furniture/Equipment"/>
    <x v="1"/>
    <x v="1"/>
    <x v="1"/>
  </r>
  <r>
    <n v="20"/>
    <s v="Female"/>
    <n v="2"/>
    <s v="Rent"/>
    <s v="Unknown"/>
    <s v="Unknown"/>
    <n v="4675"/>
    <n v="12"/>
    <s v="Car"/>
    <x v="0"/>
    <x v="1"/>
    <x v="2"/>
  </r>
  <r>
    <n v="45"/>
    <s v="Male"/>
    <n v="1"/>
    <s v="Own"/>
    <s v="Unknown"/>
    <s v="Unknown"/>
    <n v="1287"/>
    <n v="10"/>
    <s v="Car"/>
    <x v="0"/>
    <x v="2"/>
    <x v="0"/>
  </r>
  <r>
    <n v="43"/>
    <s v="Male"/>
    <n v="2"/>
    <s v="Own"/>
    <s v="Little"/>
    <s v="Unknown"/>
    <n v="2515"/>
    <n v="18"/>
    <s v="Furniture/Equipment"/>
    <x v="0"/>
    <x v="2"/>
    <x v="2"/>
  </r>
  <r>
    <n v="32"/>
    <s v="Male"/>
    <n v="2"/>
    <s v="Own"/>
    <s v="rich"/>
    <s v="Moderate"/>
    <n v="2745"/>
    <n v="21"/>
    <s v="Furniture/Equipment"/>
    <x v="0"/>
    <x v="2"/>
    <x v="2"/>
  </r>
  <r>
    <n v="54"/>
    <s v="Female"/>
    <n v="0"/>
    <s v="Own"/>
    <s v="Little"/>
    <s v="Unknown"/>
    <n v="672"/>
    <n v="6"/>
    <s v="Car"/>
    <x v="0"/>
    <x v="0"/>
    <x v="0"/>
  </r>
  <r>
    <n v="42"/>
    <s v="Female"/>
    <n v="2"/>
    <s v="Own"/>
    <s v="Little"/>
    <s v="Moderate"/>
    <n v="3804"/>
    <n v="36"/>
    <s v="Radio/TV"/>
    <x v="0"/>
    <x v="2"/>
    <x v="1"/>
  </r>
  <r>
    <n v="37"/>
    <s v="Male"/>
    <n v="1"/>
    <s v="Own"/>
    <s v="Unknown"/>
    <s v="rich"/>
    <n v="1344"/>
    <n v="24"/>
    <s v="Car"/>
    <x v="0"/>
    <x v="2"/>
    <x v="2"/>
  </r>
  <r>
    <n v="49"/>
    <s v="Male"/>
    <n v="2"/>
    <s v="Own"/>
    <s v="Little"/>
    <s v="Little"/>
    <n v="1038"/>
    <n v="10"/>
    <s v="Car"/>
    <x v="0"/>
    <x v="2"/>
    <x v="0"/>
  </r>
  <r>
    <n v="44"/>
    <s v="Male"/>
    <n v="2"/>
    <s v="Free"/>
    <s v="Quite rich"/>
    <s v="Unknown"/>
    <n v="10127"/>
    <n v="48"/>
    <s v="Car"/>
    <x v="1"/>
    <x v="2"/>
    <x v="1"/>
  </r>
  <r>
    <n v="33"/>
    <s v="Male"/>
    <n v="2"/>
    <s v="Own"/>
    <s v="rich"/>
    <s v="Unknown"/>
    <n v="1543"/>
    <n v="6"/>
    <s v="Furniture/Equipment"/>
    <x v="0"/>
    <x v="2"/>
    <x v="0"/>
  </r>
  <r>
    <n v="24"/>
    <s v="Female"/>
    <n v="1"/>
    <s v="Rent"/>
    <s v="Unknown"/>
    <s v="Unknown"/>
    <n v="4811"/>
    <n v="30"/>
    <s v="Car"/>
    <x v="2"/>
    <x v="1"/>
    <x v="2"/>
  </r>
  <r>
    <n v="33"/>
    <s v="Male"/>
    <n v="1"/>
    <s v="Own"/>
    <s v="Moderate"/>
    <s v="Little"/>
    <n v="727"/>
    <n v="12"/>
    <s v="Radio/TV"/>
    <x v="0"/>
    <x v="2"/>
    <x v="2"/>
  </r>
  <r>
    <n v="24"/>
    <s v="Female"/>
    <n v="2"/>
    <s v="Own"/>
    <s v="Little"/>
    <s v="Moderate"/>
    <n v="1237"/>
    <n v="8"/>
    <s v="Furniture/Equipment"/>
    <x v="0"/>
    <x v="1"/>
    <x v="0"/>
  </r>
  <r>
    <n v="22"/>
    <s v="Male"/>
    <n v="1"/>
    <s v="Rent"/>
    <s v="Little"/>
    <s v="Moderate"/>
    <n v="276"/>
    <n v="9"/>
    <s v="Car"/>
    <x v="0"/>
    <x v="1"/>
    <x v="0"/>
  </r>
  <r>
    <n v="40"/>
    <s v="Male"/>
    <n v="0"/>
    <s v="Free"/>
    <s v="Unknown"/>
    <s v="Moderate"/>
    <n v="5381"/>
    <n v="48"/>
    <s v="Vacation/Others"/>
    <x v="1"/>
    <x v="2"/>
    <x v="1"/>
  </r>
  <r>
    <n v="25"/>
    <s v="Male"/>
    <n v="2"/>
    <s v="Own"/>
    <s v="Moderate"/>
    <s v="Unknown"/>
    <n v="5511"/>
    <n v="24"/>
    <s v="Furniture/Equipment"/>
    <x v="0"/>
    <x v="1"/>
    <x v="2"/>
  </r>
  <r>
    <n v="26"/>
    <s v="Female"/>
    <n v="2"/>
    <s v="Own"/>
    <s v="Little"/>
    <s v="rich"/>
    <n v="3749"/>
    <n v="24"/>
    <s v="Furniture/Equipment"/>
    <x v="0"/>
    <x v="1"/>
    <x v="2"/>
  </r>
  <r>
    <n v="25"/>
    <s v="Male"/>
    <n v="1"/>
    <s v="Own"/>
    <s v="Little"/>
    <s v="Moderate"/>
    <n v="685"/>
    <n v="12"/>
    <s v="Car"/>
    <x v="0"/>
    <x v="1"/>
    <x v="2"/>
  </r>
  <r>
    <n v="29"/>
    <s v="Male"/>
    <n v="1"/>
    <s v="Own"/>
    <s v="Unknown"/>
    <s v="rich"/>
    <n v="1494"/>
    <n v="4"/>
    <s v="Car"/>
    <x v="0"/>
    <x v="1"/>
    <x v="0"/>
  </r>
  <r>
    <n v="31"/>
    <s v="Male"/>
    <n v="2"/>
    <s v="Own"/>
    <s v="Little"/>
    <s v="Little"/>
    <n v="2746"/>
    <n v="36"/>
    <s v="Furniture/Equipment"/>
    <x v="0"/>
    <x v="2"/>
    <x v="1"/>
  </r>
  <r>
    <n v="38"/>
    <s v="Male"/>
    <n v="1"/>
    <s v="Own"/>
    <s v="Little"/>
    <s v="Little"/>
    <n v="708"/>
    <n v="12"/>
    <s v="Furniture/Equipment"/>
    <x v="0"/>
    <x v="2"/>
    <x v="2"/>
  </r>
  <r>
    <n v="48"/>
    <s v="Female"/>
    <n v="1"/>
    <s v="Own"/>
    <s v="Unknown"/>
    <s v="Moderate"/>
    <n v="4351"/>
    <n v="24"/>
    <s v="Furniture/Equipment"/>
    <x v="0"/>
    <x v="2"/>
    <x v="2"/>
  </r>
  <r>
    <n v="32"/>
    <s v="Male"/>
    <n v="2"/>
    <s v="Own"/>
    <s v="Little"/>
    <s v="Unknown"/>
    <n v="701"/>
    <n v="12"/>
    <s v="Education"/>
    <x v="0"/>
    <x v="2"/>
    <x v="2"/>
  </r>
  <r>
    <n v="27"/>
    <s v="Female"/>
    <n v="1"/>
    <s v="Own"/>
    <s v="Little"/>
    <s v="Little"/>
    <n v="3643"/>
    <n v="15"/>
    <s v="Furniture/Equipment"/>
    <x v="0"/>
    <x v="1"/>
    <x v="2"/>
  </r>
  <r>
    <n v="28"/>
    <s v="Male"/>
    <n v="3"/>
    <s v="Own"/>
    <s v="Little"/>
    <s v="Moderate"/>
    <n v="4249"/>
    <n v="30"/>
    <s v="Car"/>
    <x v="2"/>
    <x v="1"/>
    <x v="2"/>
  </r>
  <r>
    <n v="32"/>
    <s v="Male"/>
    <n v="2"/>
    <s v="Own"/>
    <s v="Little"/>
    <s v="Little"/>
    <n v="1938"/>
    <n v="24"/>
    <s v="Radio/TV"/>
    <x v="0"/>
    <x v="2"/>
    <x v="2"/>
  </r>
  <r>
    <n v="34"/>
    <s v="Male"/>
    <n v="3"/>
    <s v="Free"/>
    <s v="Little"/>
    <s v="Little"/>
    <n v="2910"/>
    <n v="24"/>
    <s v="Car"/>
    <x v="0"/>
    <x v="2"/>
    <x v="2"/>
  </r>
  <r>
    <n v="28"/>
    <s v="Male"/>
    <n v="2"/>
    <s v="Own"/>
    <s v="rich"/>
    <s v="Little"/>
    <n v="2659"/>
    <n v="18"/>
    <s v="Furniture/Equipment"/>
    <x v="0"/>
    <x v="1"/>
    <x v="2"/>
  </r>
  <r>
    <n v="36"/>
    <s v="Female"/>
    <n v="2"/>
    <s v="Own"/>
    <s v="Little"/>
    <s v="Unknown"/>
    <n v="1028"/>
    <n v="18"/>
    <s v="Car"/>
    <x v="0"/>
    <x v="2"/>
    <x v="2"/>
  </r>
  <r>
    <n v="39"/>
    <s v="Male"/>
    <n v="1"/>
    <s v="Own"/>
    <s v="Little"/>
    <s v="Little"/>
    <n v="3398"/>
    <n v="8"/>
    <s v="Car"/>
    <x v="0"/>
    <x v="2"/>
    <x v="0"/>
  </r>
  <r>
    <n v="49"/>
    <s v="Male"/>
    <n v="2"/>
    <s v="Rent"/>
    <s v="Unknown"/>
    <s v="Unknown"/>
    <n v="5801"/>
    <n v="12"/>
    <s v="Furniture/Equipment"/>
    <x v="0"/>
    <x v="2"/>
    <x v="2"/>
  </r>
  <r>
    <n v="34"/>
    <s v="Female"/>
    <n v="2"/>
    <s v="Own"/>
    <s v="rich"/>
    <s v="Unknown"/>
    <n v="1525"/>
    <n v="24"/>
    <s v="Car"/>
    <x v="0"/>
    <x v="2"/>
    <x v="2"/>
  </r>
  <r>
    <n v="31"/>
    <s v="Male"/>
    <n v="2"/>
    <s v="Own"/>
    <s v="Little"/>
    <s v="rich"/>
    <n v="4473"/>
    <n v="36"/>
    <s v="Radio/TV"/>
    <x v="2"/>
    <x v="2"/>
    <x v="1"/>
  </r>
  <r>
    <n v="28"/>
    <s v="Male"/>
    <n v="2"/>
    <s v="Own"/>
    <s v="Little"/>
    <s v="Moderate"/>
    <n v="1068"/>
    <n v="6"/>
    <s v="Radio/TV"/>
    <x v="0"/>
    <x v="1"/>
    <x v="0"/>
  </r>
  <r>
    <n v="75"/>
    <s v="Male"/>
    <n v="3"/>
    <s v="Free"/>
    <s v="Little"/>
    <s v="Little"/>
    <n v="6615"/>
    <n v="24"/>
    <s v="Car"/>
    <x v="0"/>
    <x v="0"/>
    <x v="2"/>
  </r>
  <r>
    <n v="30"/>
    <s v="Female"/>
    <n v="2"/>
    <s v="Own"/>
    <s v="Moderate"/>
    <s v="Unknown"/>
    <n v="1864"/>
    <n v="18"/>
    <s v="Education"/>
    <x v="0"/>
    <x v="2"/>
    <x v="2"/>
  </r>
  <r>
    <n v="24"/>
    <s v="Female"/>
    <n v="3"/>
    <s v="Own"/>
    <s v="Moderate"/>
    <s v="Moderate"/>
    <n v="7408"/>
    <n v="60"/>
    <s v="Car"/>
    <x v="1"/>
    <x v="1"/>
    <x v="1"/>
  </r>
  <r>
    <n v="24"/>
    <s v="Female"/>
    <n v="1"/>
    <s v="Rent"/>
    <s v="Moderate"/>
    <s v="Unknown"/>
    <n v="11590"/>
    <n v="48"/>
    <s v="Car"/>
    <x v="1"/>
    <x v="1"/>
    <x v="1"/>
  </r>
  <r>
    <n v="23"/>
    <s v="Male"/>
    <n v="2"/>
    <s v="Rent"/>
    <s v="Little"/>
    <s v="Little"/>
    <n v="4110"/>
    <n v="24"/>
    <s v="Furniture/Equipment"/>
    <x v="0"/>
    <x v="1"/>
    <x v="2"/>
  </r>
  <r>
    <n v="44"/>
    <s v="Male"/>
    <n v="3"/>
    <s v="Rent"/>
    <s v="Little"/>
    <s v="Little"/>
    <n v="3384"/>
    <n v="6"/>
    <s v="Furniture/Equipment"/>
    <x v="0"/>
    <x v="2"/>
    <x v="0"/>
  </r>
  <r>
    <n v="23"/>
    <s v="Female"/>
    <n v="1"/>
    <s v="Own"/>
    <s v="Little"/>
    <s v="Moderate"/>
    <n v="2101"/>
    <n v="13"/>
    <s v="Radio/TV"/>
    <x v="0"/>
    <x v="1"/>
    <x v="2"/>
  </r>
  <r>
    <n v="24"/>
    <s v="Female"/>
    <n v="2"/>
    <s v="Rent"/>
    <s v="Unknown"/>
    <s v="Little"/>
    <n v="1275"/>
    <n v="15"/>
    <s v="Domestic appliances"/>
    <x v="0"/>
    <x v="1"/>
    <x v="2"/>
  </r>
  <r>
    <n v="28"/>
    <s v="Male"/>
    <n v="2"/>
    <s v="Own"/>
    <s v="Little"/>
    <s v="Little"/>
    <n v="4169"/>
    <n v="24"/>
    <s v="Furniture/Equipment"/>
    <x v="0"/>
    <x v="1"/>
    <x v="2"/>
  </r>
  <r>
    <n v="31"/>
    <s v="Male"/>
    <n v="1"/>
    <s v="Own"/>
    <s v="Little"/>
    <s v="Moderate"/>
    <n v="1521"/>
    <n v="10"/>
    <s v="Furniture/Equipment"/>
    <x v="0"/>
    <x v="2"/>
    <x v="0"/>
  </r>
  <r>
    <n v="24"/>
    <s v="Female"/>
    <n v="2"/>
    <s v="Free"/>
    <s v="Little"/>
    <s v="Moderate"/>
    <n v="5743"/>
    <n v="24"/>
    <s v="Education"/>
    <x v="0"/>
    <x v="1"/>
    <x v="2"/>
  </r>
  <r>
    <n v="26"/>
    <s v="Female"/>
    <n v="1"/>
    <s v="Rent"/>
    <s v="Little"/>
    <s v="Little"/>
    <n v="3599"/>
    <n v="21"/>
    <s v="Furniture/Equipment"/>
    <x v="0"/>
    <x v="1"/>
    <x v="2"/>
  </r>
  <r>
    <n v="25"/>
    <s v="Male"/>
    <n v="2"/>
    <s v="Rent"/>
    <s v="Quite rich"/>
    <s v="Moderate"/>
    <n v="3213"/>
    <n v="18"/>
    <s v="Radio/TV"/>
    <x v="0"/>
    <x v="1"/>
    <x v="2"/>
  </r>
  <r>
    <n v="33"/>
    <s v="Male"/>
    <n v="3"/>
    <s v="Own"/>
    <s v="Little"/>
    <s v="Moderate"/>
    <n v="4439"/>
    <n v="18"/>
    <s v="Business"/>
    <x v="0"/>
    <x v="2"/>
    <x v="2"/>
  </r>
  <r>
    <n v="37"/>
    <s v="Male"/>
    <n v="1"/>
    <s v="Own"/>
    <s v="Little"/>
    <s v="rich"/>
    <n v="3949"/>
    <n v="10"/>
    <s v="Car"/>
    <x v="0"/>
    <x v="2"/>
    <x v="0"/>
  </r>
  <r>
    <n v="43"/>
    <s v="Female"/>
    <n v="1"/>
    <s v="Own"/>
    <s v="Little"/>
    <s v="Unknown"/>
    <n v="1459"/>
    <n v="15"/>
    <s v="Radio/TV"/>
    <x v="0"/>
    <x v="2"/>
    <x v="2"/>
  </r>
  <r>
    <n v="23"/>
    <s v="Male"/>
    <n v="2"/>
    <s v="Own"/>
    <s v="Little"/>
    <s v="Moderate"/>
    <n v="882"/>
    <n v="13"/>
    <s v="Radio/TV"/>
    <x v="0"/>
    <x v="1"/>
    <x v="2"/>
  </r>
  <r>
    <n v="23"/>
    <s v="Female"/>
    <n v="0"/>
    <s v="Rent"/>
    <s v="Quite rich"/>
    <s v="Moderate"/>
    <n v="3758"/>
    <n v="24"/>
    <s v="Radio/TV"/>
    <x v="0"/>
    <x v="1"/>
    <x v="2"/>
  </r>
  <r>
    <n v="34"/>
    <s v="Male"/>
    <n v="1"/>
    <s v="Own"/>
    <s v="Moderate"/>
    <s v="Unknown"/>
    <n v="1743"/>
    <n v="6"/>
    <s v="Business"/>
    <x v="0"/>
    <x v="2"/>
    <x v="0"/>
  </r>
  <r>
    <n v="32"/>
    <s v="Male"/>
    <n v="2"/>
    <s v="Free"/>
    <s v="rich"/>
    <s v="Moderate"/>
    <n v="1136"/>
    <n v="9"/>
    <s v="Education"/>
    <x v="0"/>
    <x v="2"/>
    <x v="0"/>
  </r>
  <r>
    <n v="23"/>
    <s v="Female"/>
    <n v="2"/>
    <s v="Rent"/>
    <s v="Little"/>
    <s v="Unknown"/>
    <n v="1236"/>
    <n v="9"/>
    <s v="Domestic appliances"/>
    <x v="0"/>
    <x v="1"/>
    <x v="0"/>
  </r>
  <r>
    <n v="29"/>
    <s v="Female"/>
    <n v="2"/>
    <s v="Own"/>
    <s v="Little"/>
    <s v="Moderate"/>
    <n v="959"/>
    <n v="9"/>
    <s v="Furniture/Equipment"/>
    <x v="0"/>
    <x v="1"/>
    <x v="0"/>
  </r>
  <r>
    <n v="38"/>
    <s v="Male"/>
    <n v="3"/>
    <s v="Own"/>
    <s v="Unknown"/>
    <s v="Unknown"/>
    <n v="3229"/>
    <n v="18"/>
    <s v="Car"/>
    <x v="0"/>
    <x v="2"/>
    <x v="2"/>
  </r>
  <r>
    <n v="28"/>
    <s v="Male"/>
    <n v="2"/>
    <s v="Rent"/>
    <s v="Little"/>
    <s v="Little"/>
    <n v="6199"/>
    <n v="12"/>
    <s v="Radio/TV"/>
    <x v="0"/>
    <x v="1"/>
    <x v="2"/>
  </r>
  <r>
    <n v="46"/>
    <s v="Male"/>
    <n v="2"/>
    <s v="Free"/>
    <s v="Quite rich"/>
    <s v="Unknown"/>
    <n v="727"/>
    <n v="10"/>
    <s v="Education"/>
    <x v="0"/>
    <x v="2"/>
    <x v="0"/>
  </r>
  <r>
    <n v="23"/>
    <s v="Male"/>
    <n v="1"/>
    <s v="Own"/>
    <s v="Little"/>
    <s v="Moderate"/>
    <n v="1246"/>
    <n v="24"/>
    <s v="Car"/>
    <x v="0"/>
    <x v="1"/>
    <x v="2"/>
  </r>
  <r>
    <n v="49"/>
    <s v="Male"/>
    <n v="2"/>
    <s v="Own"/>
    <s v="Unknown"/>
    <s v="Unknown"/>
    <n v="2331"/>
    <n v="12"/>
    <s v="Radio/TV"/>
    <x v="0"/>
    <x v="2"/>
    <x v="2"/>
  </r>
  <r>
    <n v="26"/>
    <s v="Male"/>
    <n v="3"/>
    <s v="Own"/>
    <s v="Little"/>
    <s v="Unknown"/>
    <n v="4463"/>
    <n v="36"/>
    <s v="Radio/TV"/>
    <x v="2"/>
    <x v="1"/>
    <x v="1"/>
  </r>
  <r>
    <n v="28"/>
    <s v="Male"/>
    <n v="2"/>
    <s v="Own"/>
    <s v="Little"/>
    <s v="Unknown"/>
    <n v="776"/>
    <n v="12"/>
    <s v="Radio/TV"/>
    <x v="0"/>
    <x v="1"/>
    <x v="2"/>
  </r>
  <r>
    <n v="23"/>
    <s v="Female"/>
    <n v="2"/>
    <s v="Rent"/>
    <s v="Little"/>
    <s v="Little"/>
    <n v="2406"/>
    <n v="30"/>
    <s v="Furniture/Equipment"/>
    <x v="0"/>
    <x v="1"/>
    <x v="2"/>
  </r>
  <r>
    <n v="61"/>
    <s v="Male"/>
    <n v="2"/>
    <s v="Free"/>
    <s v="Unknown"/>
    <s v="Moderate"/>
    <n v="1239"/>
    <n v="18"/>
    <s v="Education"/>
    <x v="0"/>
    <x v="0"/>
    <x v="2"/>
  </r>
  <r>
    <n v="37"/>
    <s v="Male"/>
    <n v="3"/>
    <s v="Own"/>
    <s v="Unknown"/>
    <s v="rich"/>
    <n v="3399"/>
    <n v="12"/>
    <s v="Radio/TV"/>
    <x v="0"/>
    <x v="2"/>
    <x v="2"/>
  </r>
  <r>
    <n v="36"/>
    <s v="Female"/>
    <n v="2"/>
    <s v="Own"/>
    <s v="Little"/>
    <s v="rich"/>
    <n v="2247"/>
    <n v="12"/>
    <s v="Car"/>
    <x v="0"/>
    <x v="2"/>
    <x v="2"/>
  </r>
  <r>
    <n v="21"/>
    <s v="Male"/>
    <n v="2"/>
    <s v="Rent"/>
    <s v="Little"/>
    <s v="Unknown"/>
    <n v="1766"/>
    <n v="6"/>
    <s v="Furniture/Equipment"/>
    <x v="0"/>
    <x v="1"/>
    <x v="0"/>
  </r>
  <r>
    <n v="25"/>
    <s v="Male"/>
    <n v="0"/>
    <s v="Own"/>
    <s v="Little"/>
    <s v="Little"/>
    <n v="2473"/>
    <n v="18"/>
    <s v="Furniture/Equipment"/>
    <x v="0"/>
    <x v="1"/>
    <x v="2"/>
  </r>
  <r>
    <n v="36"/>
    <s v="Male"/>
    <n v="2"/>
    <s v="Own"/>
    <s v="Little"/>
    <s v="Unknown"/>
    <n v="1542"/>
    <n v="12"/>
    <s v="Business"/>
    <x v="0"/>
    <x v="2"/>
    <x v="2"/>
  </r>
  <r>
    <n v="27"/>
    <s v="Male"/>
    <n v="2"/>
    <s v="Own"/>
    <s v="Little"/>
    <s v="Unknown"/>
    <n v="3850"/>
    <n v="18"/>
    <s v="Car"/>
    <x v="0"/>
    <x v="1"/>
    <x v="2"/>
  </r>
  <r>
    <n v="22"/>
    <s v="Female"/>
    <n v="2"/>
    <s v="Rent"/>
    <s v="Little"/>
    <s v="Little"/>
    <n v="3650"/>
    <n v="18"/>
    <s v="Furniture/Equipment"/>
    <x v="0"/>
    <x v="1"/>
    <x v="2"/>
  </r>
  <r>
    <n v="42"/>
    <s v="Male"/>
    <n v="2"/>
    <s v="Own"/>
    <s v="Little"/>
    <s v="Little"/>
    <n v="3446"/>
    <n v="36"/>
    <s v="Furniture/Equipment"/>
    <x v="0"/>
    <x v="2"/>
    <x v="1"/>
  </r>
  <r>
    <n v="40"/>
    <s v="Female"/>
    <n v="2"/>
    <s v="Rent"/>
    <s v="Little"/>
    <s v="Moderate"/>
    <n v="3001"/>
    <n v="18"/>
    <s v="Furniture/Equipment"/>
    <x v="0"/>
    <x v="2"/>
    <x v="2"/>
  </r>
  <r>
    <n v="36"/>
    <s v="Male"/>
    <n v="2"/>
    <s v="Own"/>
    <s v="Unknown"/>
    <s v="Unknown"/>
    <n v="3079"/>
    <n v="36"/>
    <s v="Car"/>
    <x v="0"/>
    <x v="2"/>
    <x v="1"/>
  </r>
  <r>
    <n v="33"/>
    <s v="Male"/>
    <n v="2"/>
    <s v="Own"/>
    <s v="Little"/>
    <s v="Unknown"/>
    <n v="6070"/>
    <n v="18"/>
    <s v="Radio/TV"/>
    <x v="0"/>
    <x v="2"/>
    <x v="2"/>
  </r>
  <r>
    <n v="23"/>
    <s v="Female"/>
    <n v="2"/>
    <s v="Rent"/>
    <s v="Little"/>
    <s v="Unknown"/>
    <n v="2146"/>
    <n v="10"/>
    <s v="Furniture/Equipment"/>
    <x v="0"/>
    <x v="1"/>
    <x v="0"/>
  </r>
  <r>
    <n v="63"/>
    <s v="Male"/>
    <n v="3"/>
    <s v="Free"/>
    <s v="Unknown"/>
    <s v="Unknown"/>
    <n v="13756"/>
    <n v="60"/>
    <s v="Car"/>
    <x v="1"/>
    <x v="0"/>
    <x v="1"/>
  </r>
  <r>
    <n v="60"/>
    <s v="Female"/>
    <n v="3"/>
    <s v="Free"/>
    <s v="Moderate"/>
    <s v="Moderate"/>
    <n v="14782"/>
    <n v="60"/>
    <s v="Vacation/Others"/>
    <x v="1"/>
    <x v="0"/>
    <x v="1"/>
  </r>
  <r>
    <n v="37"/>
    <s v="Female"/>
    <n v="2"/>
    <s v="Rent"/>
    <s v="Little"/>
    <s v="Little"/>
    <n v="7685"/>
    <n v="48"/>
    <s v="Business"/>
    <x v="1"/>
    <x v="2"/>
    <x v="1"/>
  </r>
  <r>
    <n v="34"/>
    <s v="Male"/>
    <n v="2"/>
    <s v="Own"/>
    <s v="Little"/>
    <s v="Unknown"/>
    <n v="2320"/>
    <n v="18"/>
    <s v="Radio/TV"/>
    <x v="0"/>
    <x v="2"/>
    <x v="2"/>
  </r>
  <r>
    <n v="36"/>
    <s v="Male"/>
    <n v="2"/>
    <s v="Free"/>
    <s v="Unknown"/>
    <s v="Unknown"/>
    <n v="846"/>
    <n v="7"/>
    <s v="Radio/TV"/>
    <x v="0"/>
    <x v="2"/>
    <x v="0"/>
  </r>
  <r>
    <n v="57"/>
    <s v="Male"/>
    <n v="3"/>
    <s v="Free"/>
    <s v="Little"/>
    <s v="Moderate"/>
    <n v="14318"/>
    <n v="36"/>
    <s v="Car"/>
    <x v="1"/>
    <x v="0"/>
    <x v="1"/>
  </r>
  <r>
    <n v="52"/>
    <s v="Female"/>
    <n v="1"/>
    <s v="Own"/>
    <s v="Moderate"/>
    <s v="Unknown"/>
    <n v="362"/>
    <n v="6"/>
    <s v="Car"/>
    <x v="0"/>
    <x v="0"/>
    <x v="0"/>
  </r>
  <r>
    <n v="39"/>
    <s v="Male"/>
    <n v="2"/>
    <s v="Own"/>
    <s v="Unknown"/>
    <s v="Little"/>
    <n v="2212"/>
    <n v="20"/>
    <s v="Furniture/Equipment"/>
    <x v="0"/>
    <x v="2"/>
    <x v="2"/>
  </r>
  <r>
    <n v="38"/>
    <s v="Female"/>
    <n v="3"/>
    <s v="Free"/>
    <s v="Little"/>
    <s v="Moderate"/>
    <n v="12976"/>
    <n v="18"/>
    <s v="Car"/>
    <x v="1"/>
    <x v="2"/>
    <x v="2"/>
  </r>
  <r>
    <n v="25"/>
    <s v="Female"/>
    <n v="2"/>
    <s v="Rent"/>
    <s v="Unknown"/>
    <s v="Unknown"/>
    <n v="1283"/>
    <n v="22"/>
    <s v="Car"/>
    <x v="0"/>
    <x v="1"/>
    <x v="2"/>
  </r>
  <r>
    <n v="26"/>
    <s v="Male"/>
    <n v="2"/>
    <s v="Own"/>
    <s v="Little"/>
    <s v="rich"/>
    <n v="1330"/>
    <n v="12"/>
    <s v="Car"/>
    <x v="0"/>
    <x v="1"/>
    <x v="2"/>
  </r>
  <r>
    <n v="26"/>
    <s v="Male"/>
    <n v="1"/>
    <s v="Own"/>
    <s v="Moderate"/>
    <s v="Unknown"/>
    <n v="4272"/>
    <n v="30"/>
    <s v="Business"/>
    <x v="2"/>
    <x v="1"/>
    <x v="2"/>
  </r>
  <r>
    <n v="25"/>
    <s v="Female"/>
    <n v="2"/>
    <s v="Own"/>
    <s v="Little"/>
    <s v="Unknown"/>
    <n v="2238"/>
    <n v="18"/>
    <s v="Radio/TV"/>
    <x v="0"/>
    <x v="1"/>
    <x v="2"/>
  </r>
  <r>
    <n v="21"/>
    <s v="Female"/>
    <n v="2"/>
    <s v="Rent"/>
    <s v="Unknown"/>
    <s v="Unknown"/>
    <n v="1126"/>
    <n v="18"/>
    <s v="Radio/TV"/>
    <x v="0"/>
    <x v="1"/>
    <x v="2"/>
  </r>
  <r>
    <n v="40"/>
    <s v="Male"/>
    <n v="3"/>
    <s v="Own"/>
    <s v="Little"/>
    <s v="Moderate"/>
    <n v="7374"/>
    <n v="18"/>
    <s v="Furniture/Equipment"/>
    <x v="1"/>
    <x v="2"/>
    <x v="2"/>
  </r>
  <r>
    <n v="27"/>
    <s v="Male"/>
    <n v="2"/>
    <s v="Own"/>
    <s v="Quite rich"/>
    <s v="Moderate"/>
    <n v="2326"/>
    <n v="15"/>
    <s v="Business"/>
    <x v="0"/>
    <x v="1"/>
    <x v="2"/>
  </r>
  <r>
    <n v="27"/>
    <s v="Female"/>
    <n v="2"/>
    <s v="Own"/>
    <s v="Little"/>
    <s v="Unknown"/>
    <n v="1449"/>
    <n v="9"/>
    <s v="Business"/>
    <x v="0"/>
    <x v="1"/>
    <x v="0"/>
  </r>
  <r>
    <n v="30"/>
    <s v="Male"/>
    <n v="3"/>
    <s v="Own"/>
    <s v="Little"/>
    <s v="Unknown"/>
    <n v="1820"/>
    <n v="18"/>
    <s v="Car"/>
    <x v="0"/>
    <x v="2"/>
    <x v="2"/>
  </r>
  <r>
    <n v="19"/>
    <s v="Female"/>
    <n v="1"/>
    <s v="Rent"/>
    <s v="rich"/>
    <s v="Moderate"/>
    <n v="983"/>
    <n v="12"/>
    <s v="Furniture/Equipment"/>
    <x v="0"/>
    <x v="1"/>
    <x v="2"/>
  </r>
  <r>
    <n v="39"/>
    <s v="Male"/>
    <n v="3"/>
    <s v="Free"/>
    <s v="Little"/>
    <s v="Little"/>
    <n v="3249"/>
    <n v="36"/>
    <s v="Car"/>
    <x v="0"/>
    <x v="2"/>
    <x v="1"/>
  </r>
  <r>
    <n v="31"/>
    <s v="Female"/>
    <n v="2"/>
    <s v="Own"/>
    <s v="Little"/>
    <s v="Little"/>
    <n v="1957"/>
    <n v="6"/>
    <s v="Radio/TV"/>
    <x v="0"/>
    <x v="2"/>
    <x v="0"/>
  </r>
  <r>
    <n v="31"/>
    <s v="Male"/>
    <n v="3"/>
    <s v="Own"/>
    <s v="Little"/>
    <s v="Unknown"/>
    <n v="2406"/>
    <n v="9"/>
    <s v="Furniture/Equipment"/>
    <x v="0"/>
    <x v="2"/>
    <x v="0"/>
  </r>
  <r>
    <n v="32"/>
    <s v="Male"/>
    <n v="2"/>
    <s v="Rent"/>
    <s v="Moderate"/>
    <s v="Moderate"/>
    <n v="11760"/>
    <n v="39"/>
    <s v="Education"/>
    <x v="1"/>
    <x v="2"/>
    <x v="1"/>
  </r>
  <r>
    <n v="55"/>
    <s v="Female"/>
    <n v="3"/>
    <s v="Free"/>
    <s v="Little"/>
    <s v="Little"/>
    <n v="2578"/>
    <n v="12"/>
    <s v="Furniture/Equipment"/>
    <x v="0"/>
    <x v="0"/>
    <x v="2"/>
  </r>
  <r>
    <n v="46"/>
    <s v="Male"/>
    <n v="2"/>
    <s v="Own"/>
    <s v="Little"/>
    <s v="Little"/>
    <n v="2348"/>
    <n v="36"/>
    <s v="Furniture/Equipment"/>
    <x v="0"/>
    <x v="2"/>
    <x v="1"/>
  </r>
  <r>
    <n v="46"/>
    <s v="Male"/>
    <n v="2"/>
    <s v="Rent"/>
    <s v="Little"/>
    <s v="Moderate"/>
    <n v="1223"/>
    <n v="12"/>
    <s v="Car"/>
    <x v="0"/>
    <x v="2"/>
    <x v="2"/>
  </r>
  <r>
    <n v="43"/>
    <s v="Female"/>
    <n v="1"/>
    <s v="Own"/>
    <s v="rich"/>
    <s v="Unknown"/>
    <n v="1516"/>
    <n v="24"/>
    <s v="Radio/TV"/>
    <x v="0"/>
    <x v="2"/>
    <x v="2"/>
  </r>
  <r>
    <n v="39"/>
    <s v="Male"/>
    <n v="2"/>
    <s v="Own"/>
    <s v="Little"/>
    <s v="Unknown"/>
    <n v="1473"/>
    <n v="18"/>
    <s v="Radio/TV"/>
    <x v="0"/>
    <x v="2"/>
    <x v="2"/>
  </r>
  <r>
    <n v="28"/>
    <s v="Male"/>
    <n v="2"/>
    <s v="Own"/>
    <s v="Unknown"/>
    <s v="Moderate"/>
    <n v="1887"/>
    <n v="18"/>
    <s v="Business"/>
    <x v="0"/>
    <x v="1"/>
    <x v="2"/>
  </r>
  <r>
    <n v="27"/>
    <s v="Male"/>
    <n v="2"/>
    <s v="Own"/>
    <s v="Little"/>
    <s v="Unknown"/>
    <n v="8648"/>
    <n v="24"/>
    <s v="Business"/>
    <x v="1"/>
    <x v="1"/>
    <x v="2"/>
  </r>
  <r>
    <n v="27"/>
    <s v="Male"/>
    <n v="1"/>
    <s v="Own"/>
    <s v="Little"/>
    <s v="Unknown"/>
    <n v="802"/>
    <n v="14"/>
    <s v="Car"/>
    <x v="0"/>
    <x v="1"/>
    <x v="2"/>
  </r>
  <r>
    <n v="43"/>
    <s v="Male"/>
    <n v="2"/>
    <s v="Own"/>
    <s v="Unknown"/>
    <s v="Moderate"/>
    <n v="2899"/>
    <n v="18"/>
    <s v="Car"/>
    <x v="0"/>
    <x v="2"/>
    <x v="2"/>
  </r>
  <r>
    <n v="22"/>
    <s v="Male"/>
    <n v="2"/>
    <s v="Own"/>
    <s v="Little"/>
    <s v="Moderate"/>
    <n v="2039"/>
    <n v="24"/>
    <s v="Radio/TV"/>
    <x v="0"/>
    <x v="1"/>
    <x v="2"/>
  </r>
  <r>
    <n v="43"/>
    <s v="Male"/>
    <n v="2"/>
    <s v="Own"/>
    <s v="Unknown"/>
    <s v="Unknown"/>
    <n v="2197"/>
    <n v="24"/>
    <s v="Car"/>
    <x v="0"/>
    <x v="2"/>
    <x v="2"/>
  </r>
  <r>
    <n v="27"/>
    <s v="Male"/>
    <n v="2"/>
    <s v="Own"/>
    <s v="Little"/>
    <s v="Little"/>
    <n v="1053"/>
    <n v="15"/>
    <s v="Radio/TV"/>
    <x v="0"/>
    <x v="1"/>
    <x v="2"/>
  </r>
  <r>
    <n v="26"/>
    <s v="Male"/>
    <n v="3"/>
    <s v="Own"/>
    <s v="Quite rich"/>
    <s v="Unknown"/>
    <n v="3235"/>
    <n v="24"/>
    <s v="Radio/TV"/>
    <x v="0"/>
    <x v="1"/>
    <x v="2"/>
  </r>
  <r>
    <n v="28"/>
    <s v="Male"/>
    <n v="2"/>
    <s v="Own"/>
    <s v="Quite rich"/>
    <s v="rich"/>
    <n v="939"/>
    <n v="12"/>
    <s v="Car"/>
    <x v="0"/>
    <x v="1"/>
    <x v="2"/>
  </r>
  <r>
    <n v="20"/>
    <s v="Female"/>
    <n v="2"/>
    <s v="Own"/>
    <s v="Little"/>
    <s v="Moderate"/>
    <n v="1967"/>
    <n v="24"/>
    <s v="Radio/TV"/>
    <x v="0"/>
    <x v="1"/>
    <x v="2"/>
  </r>
  <r>
    <n v="35"/>
    <s v="Male"/>
    <n v="3"/>
    <s v="Own"/>
    <s v="Little"/>
    <s v="Unknown"/>
    <n v="7253"/>
    <n v="33"/>
    <s v="Car"/>
    <x v="1"/>
    <x v="2"/>
    <x v="2"/>
  </r>
  <r>
    <n v="42"/>
    <s v="Male"/>
    <n v="3"/>
    <s v="Own"/>
    <s v="Little"/>
    <s v="Unknown"/>
    <n v="2292"/>
    <n v="12"/>
    <s v="Business"/>
    <x v="0"/>
    <x v="2"/>
    <x v="2"/>
  </r>
  <r>
    <n v="40"/>
    <s v="Male"/>
    <n v="1"/>
    <s v="Rent"/>
    <s v="Quite rich"/>
    <s v="Unknown"/>
    <n v="1597"/>
    <n v="10"/>
    <s v="Car"/>
    <x v="0"/>
    <x v="2"/>
    <x v="0"/>
  </r>
  <r>
    <n v="35"/>
    <s v="Female"/>
    <n v="2"/>
    <s v="Own"/>
    <s v="Unknown"/>
    <s v="Little"/>
    <n v="1381"/>
    <n v="24"/>
    <s v="Car"/>
    <x v="0"/>
    <x v="2"/>
    <x v="2"/>
  </r>
  <r>
    <n v="35"/>
    <s v="Male"/>
    <n v="2"/>
    <s v="Own"/>
    <s v="Little"/>
    <s v="Unknown"/>
    <n v="5842"/>
    <n v="36"/>
    <s v="Car"/>
    <x v="2"/>
    <x v="2"/>
    <x v="1"/>
  </r>
  <r>
    <n v="33"/>
    <s v="Male"/>
    <n v="1"/>
    <s v="Own"/>
    <s v="Little"/>
    <s v="Little"/>
    <n v="2579"/>
    <n v="12"/>
    <s v="Car"/>
    <x v="0"/>
    <x v="2"/>
    <x v="2"/>
  </r>
  <r>
    <n v="23"/>
    <s v="Female"/>
    <n v="2"/>
    <s v="Rent"/>
    <s v="Unknown"/>
    <s v="Little"/>
    <n v="8471"/>
    <n v="18"/>
    <s v="Education"/>
    <x v="1"/>
    <x v="1"/>
    <x v="2"/>
  </r>
  <r>
    <n v="31"/>
    <s v="Female"/>
    <n v="3"/>
    <s v="Own"/>
    <s v="Quite rich"/>
    <s v="Unknown"/>
    <n v="2782"/>
    <n v="21"/>
    <s v="Car"/>
    <x v="0"/>
    <x v="2"/>
    <x v="2"/>
  </r>
  <r>
    <n v="33"/>
    <s v="Female"/>
    <n v="2"/>
    <s v="Own"/>
    <s v="Unknown"/>
    <s v="Moderate"/>
    <n v="1042"/>
    <n v="18"/>
    <s v="Car"/>
    <x v="0"/>
    <x v="2"/>
    <x v="2"/>
  </r>
  <r>
    <n v="20"/>
    <s v="Female"/>
    <n v="2"/>
    <s v="Rent"/>
    <s v="rich"/>
    <s v="Unknown"/>
    <n v="3186"/>
    <n v="15"/>
    <s v="Car"/>
    <x v="0"/>
    <x v="1"/>
    <x v="2"/>
  </r>
  <r>
    <n v="30"/>
    <s v="Male"/>
    <n v="2"/>
    <s v="Own"/>
    <s v="Unknown"/>
    <s v="Moderate"/>
    <n v="2028"/>
    <n v="12"/>
    <s v="Car"/>
    <x v="0"/>
    <x v="2"/>
    <x v="2"/>
  </r>
  <r>
    <n v="47"/>
    <s v="Male"/>
    <n v="1"/>
    <s v="Own"/>
    <s v="Little"/>
    <s v="Moderate"/>
    <n v="958"/>
    <n v="12"/>
    <s v="Car"/>
    <x v="0"/>
    <x v="2"/>
    <x v="2"/>
  </r>
  <r>
    <n v="34"/>
    <s v="Male"/>
    <n v="3"/>
    <s v="Own"/>
    <s v="Moderate"/>
    <s v="Unknown"/>
    <n v="1591"/>
    <n v="21"/>
    <s v="Furniture/Equipment"/>
    <x v="0"/>
    <x v="2"/>
    <x v="2"/>
  </r>
  <r>
    <n v="25"/>
    <s v="Female"/>
    <n v="2"/>
    <s v="Own"/>
    <s v="Unknown"/>
    <s v="Moderate"/>
    <n v="2762"/>
    <n v="12"/>
    <s v="Furniture/Equipment"/>
    <x v="0"/>
    <x v="1"/>
    <x v="2"/>
  </r>
  <r>
    <n v="21"/>
    <s v="Male"/>
    <n v="2"/>
    <s v="Rent"/>
    <s v="Little"/>
    <s v="Moderate"/>
    <n v="2779"/>
    <n v="18"/>
    <s v="Car"/>
    <x v="0"/>
    <x v="1"/>
    <x v="2"/>
  </r>
  <r>
    <n v="29"/>
    <s v="Male"/>
    <n v="2"/>
    <s v="Own"/>
    <s v="Little"/>
    <s v="Unknown"/>
    <n v="2743"/>
    <n v="28"/>
    <s v="Radio/TV"/>
    <x v="0"/>
    <x v="1"/>
    <x v="2"/>
  </r>
  <r>
    <n v="46"/>
    <s v="Male"/>
    <n v="2"/>
    <s v="Own"/>
    <s v="rich"/>
    <s v="Unknown"/>
    <n v="1149"/>
    <n v="18"/>
    <s v="Radio/TV"/>
    <x v="0"/>
    <x v="2"/>
    <x v="2"/>
  </r>
  <r>
    <n v="20"/>
    <s v="Male"/>
    <n v="2"/>
    <s v="Own"/>
    <s v="Little"/>
    <s v="Unknown"/>
    <n v="1313"/>
    <n v="9"/>
    <s v="Furniture/Equipment"/>
    <x v="0"/>
    <x v="1"/>
    <x v="0"/>
  </r>
  <r>
    <n v="55"/>
    <s v="Female"/>
    <n v="0"/>
    <s v="Free"/>
    <s v="Little"/>
    <s v="Little"/>
    <n v="1190"/>
    <n v="18"/>
    <s v="Repairs"/>
    <x v="0"/>
    <x v="0"/>
    <x v="2"/>
  </r>
  <r>
    <n v="74"/>
    <s v="Male"/>
    <n v="1"/>
    <s v="Own"/>
    <s v="Little"/>
    <s v="Unknown"/>
    <n v="3448"/>
    <n v="5"/>
    <s v="Business"/>
    <x v="0"/>
    <x v="0"/>
    <x v="0"/>
  </r>
  <r>
    <n v="29"/>
    <s v="Male"/>
    <n v="3"/>
    <s v="Own"/>
    <s v="Little"/>
    <s v="Moderate"/>
    <n v="11328"/>
    <n v="24"/>
    <s v="Vacation/Others"/>
    <x v="1"/>
    <x v="1"/>
    <x v="2"/>
  </r>
  <r>
    <n v="36"/>
    <s v="Male"/>
    <n v="3"/>
    <s v="Free"/>
    <s v="Little"/>
    <s v="Little"/>
    <n v="1872"/>
    <n v="6"/>
    <s v="Furniture/Equipment"/>
    <x v="0"/>
    <x v="2"/>
    <x v="0"/>
  </r>
  <r>
    <n v="33"/>
    <s v="Male"/>
    <n v="2"/>
    <s v="Own"/>
    <s v="Little"/>
    <s v="Unknown"/>
    <n v="2058"/>
    <n v="24"/>
    <s v="Repairs"/>
    <x v="0"/>
    <x v="2"/>
    <x v="2"/>
  </r>
  <r>
    <n v="25"/>
    <s v="Male"/>
    <n v="2"/>
    <s v="Own"/>
    <s v="Little"/>
    <s v="Little"/>
    <n v="2136"/>
    <n v="9"/>
    <s v="Furniture/Equipment"/>
    <x v="0"/>
    <x v="1"/>
    <x v="0"/>
  </r>
  <r>
    <n v="25"/>
    <s v="Male"/>
    <n v="2"/>
    <s v="Own"/>
    <s v="Unknown"/>
    <s v="Moderate"/>
    <n v="1484"/>
    <n v="12"/>
    <s v="Radio/TV"/>
    <x v="0"/>
    <x v="1"/>
    <x v="2"/>
  </r>
  <r>
    <n v="23"/>
    <s v="Male"/>
    <n v="1"/>
    <s v="Rent"/>
    <s v="Quite rich"/>
    <s v="Unknown"/>
    <n v="660"/>
    <n v="6"/>
    <s v="Repairs"/>
    <x v="0"/>
    <x v="1"/>
    <x v="0"/>
  </r>
  <r>
    <n v="37"/>
    <s v="Female"/>
    <n v="2"/>
    <s v="Own"/>
    <s v="rich"/>
    <s v="Unknown"/>
    <n v="1287"/>
    <n v="24"/>
    <s v="Car"/>
    <x v="0"/>
    <x v="2"/>
    <x v="2"/>
  </r>
  <r>
    <n v="65"/>
    <s v="Male"/>
    <n v="0"/>
    <s v="Own"/>
    <s v="Little"/>
    <s v="Little"/>
    <n v="3394"/>
    <n v="42"/>
    <s v="Repairs"/>
    <x v="1"/>
    <x v="0"/>
    <x v="1"/>
  </r>
  <r>
    <n v="26"/>
    <s v="Female"/>
    <n v="0"/>
    <s v="Own"/>
    <s v="Little"/>
    <s v="rich"/>
    <n v="609"/>
    <n v="12"/>
    <s v="Business"/>
    <x v="0"/>
    <x v="1"/>
    <x v="2"/>
  </r>
  <r>
    <n v="39"/>
    <s v="Male"/>
    <n v="3"/>
    <s v="Own"/>
    <s v="Little"/>
    <s v="Unknown"/>
    <n v="1884"/>
    <n v="12"/>
    <s v="Car"/>
    <x v="0"/>
    <x v="2"/>
    <x v="2"/>
  </r>
  <r>
    <n v="30"/>
    <s v="Female"/>
    <n v="2"/>
    <s v="Own"/>
    <s v="Little"/>
    <s v="Little"/>
    <n v="1620"/>
    <n v="12"/>
    <s v="Furniture/Equipment"/>
    <x v="0"/>
    <x v="2"/>
    <x v="2"/>
  </r>
  <r>
    <n v="29"/>
    <s v="Male"/>
    <n v="2"/>
    <s v="Own"/>
    <s v="Little"/>
    <s v="Moderate"/>
    <n v="2629"/>
    <n v="20"/>
    <s v="Vacation/Others"/>
    <x v="0"/>
    <x v="1"/>
    <x v="2"/>
  </r>
  <r>
    <n v="41"/>
    <s v="Male"/>
    <n v="1"/>
    <s v="Own"/>
    <s v="Little"/>
    <s v="Unknown"/>
    <n v="719"/>
    <n v="12"/>
    <s v="Education"/>
    <x v="0"/>
    <x v="2"/>
    <x v="2"/>
  </r>
  <r>
    <n v="30"/>
    <s v="Female"/>
    <n v="3"/>
    <s v="Own"/>
    <s v="Little"/>
    <s v="Moderate"/>
    <n v="5096"/>
    <n v="48"/>
    <s v="Furniture/Equipment"/>
    <x v="1"/>
    <x v="2"/>
    <x v="1"/>
  </r>
  <r>
    <n v="41"/>
    <s v="Female"/>
    <n v="1"/>
    <s v="Rent"/>
    <s v="Unknown"/>
    <s v="Unknown"/>
    <n v="1244"/>
    <n v="9"/>
    <s v="Education"/>
    <x v="0"/>
    <x v="2"/>
    <x v="0"/>
  </r>
  <r>
    <n v="34"/>
    <s v="Female"/>
    <n v="2"/>
    <s v="Own"/>
    <s v="Little"/>
    <s v="Little"/>
    <n v="1842"/>
    <n v="36"/>
    <s v="Car"/>
    <x v="0"/>
    <x v="2"/>
    <x v="1"/>
  </r>
  <r>
    <n v="35"/>
    <s v="Male"/>
    <n v="2"/>
    <s v="Own"/>
    <s v="Little"/>
    <s v="Moderate"/>
    <n v="2576"/>
    <n v="7"/>
    <s v="Radio/TV"/>
    <x v="0"/>
    <x v="2"/>
    <x v="0"/>
  </r>
  <r>
    <n v="55"/>
    <s v="Female"/>
    <n v="3"/>
    <s v="Own"/>
    <s v="Unknown"/>
    <s v="rich"/>
    <n v="1424"/>
    <n v="12"/>
    <s v="Furniture/Equipment"/>
    <x v="0"/>
    <x v="0"/>
    <x v="2"/>
  </r>
  <r>
    <n v="61"/>
    <s v="Male"/>
    <n v="2"/>
    <s v="Own"/>
    <s v="rich"/>
    <s v="Moderate"/>
    <n v="1512"/>
    <n v="15"/>
    <s v="Repairs"/>
    <x v="0"/>
    <x v="0"/>
    <x v="2"/>
  </r>
  <r>
    <n v="30"/>
    <s v="Male"/>
    <n v="3"/>
    <s v="Own"/>
    <s v="Unknown"/>
    <s v="Unknown"/>
    <n v="11054"/>
    <n v="36"/>
    <s v="Car"/>
    <x v="1"/>
    <x v="2"/>
    <x v="1"/>
  </r>
  <r>
    <n v="29"/>
    <s v="Female"/>
    <n v="2"/>
    <s v="Own"/>
    <s v="Little"/>
    <s v="Unknown"/>
    <n v="518"/>
    <n v="6"/>
    <s v="Radio/TV"/>
    <x v="0"/>
    <x v="1"/>
    <x v="0"/>
  </r>
  <r>
    <n v="34"/>
    <s v="Male"/>
    <n v="2"/>
    <s v="Own"/>
    <s v="Little"/>
    <s v="Unknown"/>
    <n v="2759"/>
    <n v="12"/>
    <s v="Furniture/Equipment"/>
    <x v="0"/>
    <x v="2"/>
    <x v="2"/>
  </r>
  <r>
    <n v="35"/>
    <s v="Male"/>
    <n v="3"/>
    <s v="Own"/>
    <s v="Little"/>
    <s v="Unknown"/>
    <n v="2670"/>
    <n v="24"/>
    <s v="Car"/>
    <x v="0"/>
    <x v="2"/>
    <x v="2"/>
  </r>
  <r>
    <n v="31"/>
    <s v="Male"/>
    <n v="2"/>
    <s v="Own"/>
    <s v="Little"/>
    <s v="Little"/>
    <n v="4817"/>
    <n v="24"/>
    <s v="Car"/>
    <x v="0"/>
    <x v="2"/>
    <x v="2"/>
  </r>
  <r>
    <n v="29"/>
    <s v="Female"/>
    <n v="3"/>
    <s v="Own"/>
    <s v="Little"/>
    <s v="Unknown"/>
    <n v="2679"/>
    <n v="24"/>
    <s v="Car"/>
    <x v="0"/>
    <x v="1"/>
    <x v="2"/>
  </r>
  <r>
    <n v="36"/>
    <s v="Male"/>
    <n v="2"/>
    <s v="Rent"/>
    <s v="Little"/>
    <s v="Little"/>
    <n v="3905"/>
    <n v="11"/>
    <s v="Car"/>
    <x v="0"/>
    <x v="2"/>
    <x v="0"/>
  </r>
  <r>
    <n v="35"/>
    <s v="Male"/>
    <n v="2"/>
    <s v="Free"/>
    <s v="Little"/>
    <s v="Little"/>
    <n v="3386"/>
    <n v="12"/>
    <s v="Car"/>
    <x v="0"/>
    <x v="2"/>
    <x v="2"/>
  </r>
  <r>
    <n v="27"/>
    <s v="Female"/>
    <n v="2"/>
    <s v="Own"/>
    <s v="Little"/>
    <s v="Little"/>
    <n v="343"/>
    <n v="6"/>
    <s v="Domestic appliances"/>
    <x v="0"/>
    <x v="1"/>
    <x v="0"/>
  </r>
  <r>
    <n v="32"/>
    <s v="Male"/>
    <n v="2"/>
    <s v="Own"/>
    <s v="Little"/>
    <s v="Unknown"/>
    <n v="4594"/>
    <n v="18"/>
    <s v="Radio/TV"/>
    <x v="0"/>
    <x v="2"/>
    <x v="2"/>
  </r>
  <r>
    <n v="37"/>
    <s v="Male"/>
    <n v="2"/>
    <s v="Own"/>
    <s v="Little"/>
    <s v="Little"/>
    <n v="3620"/>
    <n v="36"/>
    <s v="Furniture/Equipment"/>
    <x v="0"/>
    <x v="2"/>
    <x v="1"/>
  </r>
  <r>
    <n v="36"/>
    <s v="Male"/>
    <n v="2"/>
    <s v="Own"/>
    <s v="Little"/>
    <s v="Little"/>
    <n v="1721"/>
    <n v="15"/>
    <s v="Car"/>
    <x v="0"/>
    <x v="2"/>
    <x v="2"/>
  </r>
  <r>
    <n v="34"/>
    <s v="Female"/>
    <n v="3"/>
    <s v="Rent"/>
    <s v="Little"/>
    <s v="Moderate"/>
    <n v="3017"/>
    <n v="12"/>
    <s v="Furniture/Equipment"/>
    <x v="0"/>
    <x v="2"/>
    <x v="2"/>
  </r>
  <r>
    <n v="38"/>
    <s v="Male"/>
    <n v="2"/>
    <s v="Own"/>
    <s v="Unknown"/>
    <s v="Moderate"/>
    <n v="754"/>
    <n v="12"/>
    <s v="Education"/>
    <x v="0"/>
    <x v="2"/>
    <x v="2"/>
  </r>
  <r>
    <n v="34"/>
    <s v="Male"/>
    <n v="2"/>
    <s v="Own"/>
    <s v="Little"/>
    <s v="Unknown"/>
    <n v="1950"/>
    <n v="18"/>
    <s v="Business"/>
    <x v="0"/>
    <x v="2"/>
    <x v="2"/>
  </r>
  <r>
    <n v="63"/>
    <s v="Male"/>
    <n v="2"/>
    <s v="Own"/>
    <s v="Little"/>
    <s v="Little"/>
    <n v="2924"/>
    <n v="24"/>
    <s v="Car"/>
    <x v="0"/>
    <x v="0"/>
    <x v="2"/>
  </r>
  <r>
    <n v="29"/>
    <s v="Female"/>
    <n v="1"/>
    <s v="Rent"/>
    <s v="Little"/>
    <s v="Little"/>
    <n v="1659"/>
    <n v="24"/>
    <s v="Radio/TV"/>
    <x v="0"/>
    <x v="1"/>
    <x v="2"/>
  </r>
  <r>
    <n v="32"/>
    <s v="Male"/>
    <n v="2"/>
    <s v="Own"/>
    <s v="Unknown"/>
    <s v="Unknown"/>
    <n v="7238"/>
    <n v="48"/>
    <s v="Radio/TV"/>
    <x v="1"/>
    <x v="2"/>
    <x v="1"/>
  </r>
  <r>
    <n v="26"/>
    <s v="Female"/>
    <n v="2"/>
    <s v="Own"/>
    <s v="Little"/>
    <s v="Unknown"/>
    <n v="2764"/>
    <n v="33"/>
    <s v="Business"/>
    <x v="0"/>
    <x v="1"/>
    <x v="2"/>
  </r>
  <r>
    <n v="35"/>
    <s v="Male"/>
    <n v="1"/>
    <s v="Own"/>
    <s v="Little"/>
    <s v="Unknown"/>
    <n v="4679"/>
    <n v="24"/>
    <s v="Car"/>
    <x v="0"/>
    <x v="2"/>
    <x v="2"/>
  </r>
  <r>
    <n v="22"/>
    <s v="Male"/>
    <n v="2"/>
    <s v="Rent"/>
    <s v="Moderate"/>
    <s v="Moderate"/>
    <n v="3092"/>
    <n v="24"/>
    <s v="Radio/TV"/>
    <x v="0"/>
    <x v="1"/>
    <x v="2"/>
  </r>
  <r>
    <n v="23"/>
    <s v="Female"/>
    <n v="2"/>
    <s v="Own"/>
    <s v="Little"/>
    <s v="Little"/>
    <n v="448"/>
    <n v="6"/>
    <s v="Education"/>
    <x v="0"/>
    <x v="1"/>
    <x v="0"/>
  </r>
  <r>
    <n v="28"/>
    <s v="Male"/>
    <n v="1"/>
    <s v="Own"/>
    <s v="Little"/>
    <s v="Little"/>
    <n v="654"/>
    <n v="9"/>
    <s v="Car"/>
    <x v="0"/>
    <x v="1"/>
    <x v="0"/>
  </r>
  <r>
    <n v="36"/>
    <s v="Male"/>
    <n v="3"/>
    <s v="Own"/>
    <s v="Unknown"/>
    <s v="Unknown"/>
    <n v="1238"/>
    <n v="6"/>
    <s v="Education"/>
    <x v="0"/>
    <x v="2"/>
    <x v="0"/>
  </r>
  <r>
    <n v="33"/>
    <s v="Male"/>
    <n v="2"/>
    <s v="Own"/>
    <s v="Little"/>
    <s v="Moderate"/>
    <n v="1245"/>
    <n v="18"/>
    <s v="Radio/TV"/>
    <x v="0"/>
    <x v="2"/>
    <x v="2"/>
  </r>
  <r>
    <n v="26"/>
    <s v="Female"/>
    <n v="2"/>
    <s v="Rent"/>
    <s v="Little"/>
    <s v="Little"/>
    <n v="3114"/>
    <n v="18"/>
    <s v="Furniture/Equipment"/>
    <x v="0"/>
    <x v="1"/>
    <x v="2"/>
  </r>
  <r>
    <n v="24"/>
    <s v="Male"/>
    <n v="2"/>
    <s v="Own"/>
    <s v="Quite rich"/>
    <s v="Unknown"/>
    <n v="2569"/>
    <n v="39"/>
    <s v="Car"/>
    <x v="1"/>
    <x v="1"/>
    <x v="1"/>
  </r>
  <r>
    <n v="25"/>
    <s v="Male"/>
    <n v="2"/>
    <s v="Own"/>
    <s v="Little"/>
    <s v="rich"/>
    <n v="5152"/>
    <n v="24"/>
    <s v="Radio/TV"/>
    <x v="0"/>
    <x v="1"/>
    <x v="2"/>
  </r>
  <r>
    <n v="39"/>
    <s v="Male"/>
    <n v="1"/>
    <s v="Own"/>
    <s v="Moderate"/>
    <s v="Moderate"/>
    <n v="1037"/>
    <n v="12"/>
    <s v="Business"/>
    <x v="0"/>
    <x v="2"/>
    <x v="2"/>
  </r>
  <r>
    <n v="44"/>
    <s v="Male"/>
    <n v="2"/>
    <s v="Own"/>
    <s v="Little"/>
    <s v="Little"/>
    <n v="1478"/>
    <n v="15"/>
    <s v="Furniture/Equipment"/>
    <x v="0"/>
    <x v="2"/>
    <x v="2"/>
  </r>
  <r>
    <n v="23"/>
    <s v="Female"/>
    <n v="1"/>
    <s v="Own"/>
    <s v="Little"/>
    <s v="Moderate"/>
    <n v="3573"/>
    <n v="12"/>
    <s v="Radio/TV"/>
    <x v="0"/>
    <x v="1"/>
    <x v="2"/>
  </r>
  <r>
    <n v="26"/>
    <s v="Male"/>
    <n v="2"/>
    <s v="Own"/>
    <s v="Little"/>
    <s v="Moderate"/>
    <n v="1201"/>
    <n v="24"/>
    <s v="Car"/>
    <x v="0"/>
    <x v="1"/>
    <x v="2"/>
  </r>
  <r>
    <n v="57"/>
    <s v="Female"/>
    <n v="2"/>
    <s v="Rent"/>
    <s v="rich"/>
    <s v="Little"/>
    <n v="3622"/>
    <n v="30"/>
    <s v="Furniture/Equipment"/>
    <x v="0"/>
    <x v="0"/>
    <x v="2"/>
  </r>
  <r>
    <n v="30"/>
    <s v="Female"/>
    <n v="2"/>
    <s v="Own"/>
    <s v="rich"/>
    <s v="Unknown"/>
    <n v="960"/>
    <n v="15"/>
    <s v="Furniture/Equipment"/>
    <x v="0"/>
    <x v="2"/>
    <x v="2"/>
  </r>
  <r>
    <n v="44"/>
    <s v="Male"/>
    <n v="2"/>
    <s v="Own"/>
    <s v="Quite rich"/>
    <s v="Unknown"/>
    <n v="1163"/>
    <n v="12"/>
    <s v="Car"/>
    <x v="0"/>
    <x v="2"/>
    <x v="2"/>
  </r>
  <r>
    <n v="47"/>
    <s v="Male"/>
    <n v="3"/>
    <s v="Own"/>
    <s v="Little"/>
    <s v="Moderate"/>
    <n v="1209"/>
    <n v="6"/>
    <s v="Car"/>
    <x v="0"/>
    <x v="2"/>
    <x v="0"/>
  </r>
  <r>
    <n v="52"/>
    <s v="Male"/>
    <n v="2"/>
    <s v="Own"/>
    <s v="Little"/>
    <s v="Unknown"/>
    <n v="3077"/>
    <n v="12"/>
    <s v="Radio/TV"/>
    <x v="0"/>
    <x v="0"/>
    <x v="2"/>
  </r>
  <r>
    <n v="62"/>
    <s v="Female"/>
    <n v="2"/>
    <s v="Free"/>
    <s v="Little"/>
    <s v="Unknown"/>
    <n v="3757"/>
    <n v="24"/>
    <s v="Car"/>
    <x v="0"/>
    <x v="0"/>
    <x v="2"/>
  </r>
  <r>
    <n v="35"/>
    <s v="Male"/>
    <n v="1"/>
    <s v="Rent"/>
    <s v="Moderate"/>
    <s v="Unknown"/>
    <n v="1418"/>
    <n v="10"/>
    <s v="Car"/>
    <x v="0"/>
    <x v="2"/>
    <x v="0"/>
  </r>
  <r>
    <n v="26"/>
    <s v="Male"/>
    <n v="2"/>
    <s v="Rent"/>
    <s v="Little"/>
    <s v="Unknown"/>
    <n v="3518"/>
    <n v="6"/>
    <s v="Car"/>
    <x v="0"/>
    <x v="1"/>
    <x v="0"/>
  </r>
  <r>
    <n v="26"/>
    <s v="Male"/>
    <n v="2"/>
    <s v="Own"/>
    <s v="Little"/>
    <s v="Unknown"/>
    <n v="1934"/>
    <n v="12"/>
    <s v="Radio/TV"/>
    <x v="0"/>
    <x v="1"/>
    <x v="2"/>
  </r>
  <r>
    <n v="42"/>
    <s v="Female"/>
    <n v="3"/>
    <s v="Free"/>
    <s v="Little"/>
    <s v="Moderate"/>
    <n v="8318"/>
    <n v="27"/>
    <s v="Business"/>
    <x v="1"/>
    <x v="2"/>
    <x v="2"/>
  </r>
  <r>
    <n v="27"/>
    <s v="Female"/>
    <n v="2"/>
    <s v="Own"/>
    <s v="Moderate"/>
    <s v="Unknown"/>
    <n v="1237"/>
    <n v="6"/>
    <s v="Radio/TV"/>
    <x v="0"/>
    <x v="1"/>
    <x v="0"/>
  </r>
  <r>
    <n v="38"/>
    <s v="Male"/>
    <n v="2"/>
    <s v="Own"/>
    <s v="Unknown"/>
    <s v="Moderate"/>
    <n v="368"/>
    <n v="6"/>
    <s v="Radio/TV"/>
    <x v="0"/>
    <x v="2"/>
    <x v="0"/>
  </r>
  <r>
    <n v="39"/>
    <s v="Male"/>
    <n v="1"/>
    <s v="Rent"/>
    <s v="Little"/>
    <s v="Little"/>
    <n v="2122"/>
    <n v="12"/>
    <s v="Car"/>
    <x v="0"/>
    <x v="2"/>
    <x v="2"/>
  </r>
  <r>
    <n v="20"/>
    <s v="Male"/>
    <n v="2"/>
    <s v="Own"/>
    <s v="Unknown"/>
    <s v="Little"/>
    <n v="2996"/>
    <n v="24"/>
    <s v="Furniture/Equipment"/>
    <x v="0"/>
    <x v="1"/>
    <x v="2"/>
  </r>
  <r>
    <n v="29"/>
    <s v="Male"/>
    <n v="3"/>
    <s v="Rent"/>
    <s v="Moderate"/>
    <s v="Moderate"/>
    <n v="9034"/>
    <n v="36"/>
    <s v="Furniture/Equipment"/>
    <x v="1"/>
    <x v="1"/>
    <x v="1"/>
  </r>
  <r>
    <n v="40"/>
    <s v="Male"/>
    <n v="2"/>
    <s v="Own"/>
    <s v="Little"/>
    <s v="Unknown"/>
    <n v="1585"/>
    <n v="24"/>
    <s v="Furniture/Equipment"/>
    <x v="0"/>
    <x v="2"/>
    <x v="2"/>
  </r>
  <r>
    <n v="32"/>
    <s v="Male"/>
    <n v="1"/>
    <s v="Own"/>
    <s v="Little"/>
    <s v="Moderate"/>
    <n v="1301"/>
    <n v="18"/>
    <s v="Radio/TV"/>
    <x v="0"/>
    <x v="2"/>
    <x v="2"/>
  </r>
  <r>
    <n v="28"/>
    <s v="Male"/>
    <n v="2"/>
    <s v="Own"/>
    <s v="Moderate"/>
    <s v="rich"/>
    <n v="1323"/>
    <n v="6"/>
    <s v="Car"/>
    <x v="0"/>
    <x v="1"/>
    <x v="0"/>
  </r>
  <r>
    <n v="27"/>
    <s v="Female"/>
    <n v="2"/>
    <s v="Own"/>
    <s v="Little"/>
    <s v="Little"/>
    <n v="3123"/>
    <n v="24"/>
    <s v="Car"/>
    <x v="0"/>
    <x v="1"/>
    <x v="2"/>
  </r>
  <r>
    <n v="42"/>
    <s v="Male"/>
    <n v="2"/>
    <s v="Free"/>
    <s v="Little"/>
    <s v="Little"/>
    <n v="5493"/>
    <n v="36"/>
    <s v="Car"/>
    <x v="2"/>
    <x v="2"/>
    <x v="1"/>
  </r>
  <r>
    <n v="49"/>
    <s v="Male"/>
    <n v="2"/>
    <s v="Own"/>
    <s v="Moderate"/>
    <s v="rich"/>
    <n v="1126"/>
    <n v="9"/>
    <s v="Radio/TV"/>
    <x v="0"/>
    <x v="2"/>
    <x v="0"/>
  </r>
  <r>
    <n v="38"/>
    <s v="Male"/>
    <n v="2"/>
    <s v="Own"/>
    <s v="Moderate"/>
    <s v="Moderate"/>
    <n v="1216"/>
    <n v="24"/>
    <s v="Radio/TV"/>
    <x v="0"/>
    <x v="2"/>
    <x v="2"/>
  </r>
  <r>
    <n v="24"/>
    <s v="Female"/>
    <n v="2"/>
    <s v="Rent"/>
    <s v="Little"/>
    <s v="Little"/>
    <n v="1207"/>
    <n v="24"/>
    <s v="Car"/>
    <x v="0"/>
    <x v="1"/>
    <x v="2"/>
  </r>
  <r>
    <n v="27"/>
    <s v="Male"/>
    <n v="1"/>
    <s v="Own"/>
    <s v="Unknown"/>
    <s v="Unknown"/>
    <n v="1309"/>
    <n v="10"/>
    <s v="Car"/>
    <x v="0"/>
    <x v="1"/>
    <x v="0"/>
  </r>
  <r>
    <n v="36"/>
    <s v="Male"/>
    <n v="2"/>
    <s v="Own"/>
    <s v="Quite rich"/>
    <s v="rich"/>
    <n v="2360"/>
    <n v="15"/>
    <s v="Car"/>
    <x v="0"/>
    <x v="2"/>
    <x v="2"/>
  </r>
  <r>
    <n v="34"/>
    <s v="Male"/>
    <n v="3"/>
    <s v="Own"/>
    <s v="Moderate"/>
    <s v="Moderate"/>
    <n v="6850"/>
    <n v="15"/>
    <s v="Car"/>
    <x v="0"/>
    <x v="2"/>
    <x v="2"/>
  </r>
  <r>
    <n v="28"/>
    <s v="Male"/>
    <n v="2"/>
    <s v="Own"/>
    <s v="Little"/>
    <s v="Unknown"/>
    <n v="1413"/>
    <n v="24"/>
    <s v="Radio/TV"/>
    <x v="0"/>
    <x v="1"/>
    <x v="2"/>
  </r>
  <r>
    <n v="45"/>
    <s v="Male"/>
    <n v="3"/>
    <s v="Own"/>
    <s v="Moderate"/>
    <s v="Unknown"/>
    <n v="8588"/>
    <n v="39"/>
    <s v="Car"/>
    <x v="1"/>
    <x v="2"/>
    <x v="1"/>
  </r>
  <r>
    <n v="26"/>
    <s v="Male"/>
    <n v="2"/>
    <s v="Own"/>
    <s v="Little"/>
    <s v="Little"/>
    <n v="759"/>
    <n v="12"/>
    <s v="Car"/>
    <x v="0"/>
    <x v="1"/>
    <x v="2"/>
  </r>
  <r>
    <n v="32"/>
    <s v="Male"/>
    <n v="3"/>
    <s v="Free"/>
    <s v="Little"/>
    <s v="Unknown"/>
    <n v="4686"/>
    <n v="36"/>
    <s v="Car"/>
    <x v="2"/>
    <x v="2"/>
    <x v="1"/>
  </r>
  <r>
    <n v="26"/>
    <s v="Male"/>
    <n v="2"/>
    <s v="Rent"/>
    <s v="Little"/>
    <s v="rich"/>
    <n v="2687"/>
    <n v="15"/>
    <s v="Business"/>
    <x v="0"/>
    <x v="1"/>
    <x v="2"/>
  </r>
  <r>
    <n v="20"/>
    <s v="Male"/>
    <n v="2"/>
    <s v="Rent"/>
    <s v="Little"/>
    <s v="Moderate"/>
    <n v="585"/>
    <n v="12"/>
    <s v="Radio/TV"/>
    <x v="0"/>
    <x v="1"/>
    <x v="2"/>
  </r>
  <r>
    <n v="54"/>
    <s v="Male"/>
    <n v="2"/>
    <s v="Own"/>
    <s v="Unknown"/>
    <s v="Unknown"/>
    <n v="2255"/>
    <n v="24"/>
    <s v="Car"/>
    <x v="0"/>
    <x v="0"/>
    <x v="2"/>
  </r>
  <r>
    <n v="37"/>
    <s v="Female"/>
    <n v="2"/>
    <s v="Own"/>
    <s v="Little"/>
    <s v="Little"/>
    <n v="609"/>
    <n v="6"/>
    <s v="Car"/>
    <x v="0"/>
    <x v="2"/>
    <x v="0"/>
  </r>
  <r>
    <n v="40"/>
    <s v="Male"/>
    <n v="1"/>
    <s v="Own"/>
    <s v="Little"/>
    <s v="Little"/>
    <n v="1361"/>
    <n v="6"/>
    <s v="Car"/>
    <x v="0"/>
    <x v="2"/>
    <x v="0"/>
  </r>
  <r>
    <n v="23"/>
    <s v="Female"/>
    <n v="2"/>
    <s v="Rent"/>
    <s v="Little"/>
    <s v="Unknown"/>
    <n v="7127"/>
    <n v="36"/>
    <s v="Furniture/Equipment"/>
    <x v="1"/>
    <x v="1"/>
    <x v="1"/>
  </r>
  <r>
    <n v="43"/>
    <s v="Male"/>
    <n v="2"/>
    <s v="Own"/>
    <s v="Moderate"/>
    <s v="Little"/>
    <n v="1203"/>
    <n v="6"/>
    <s v="Car"/>
    <x v="0"/>
    <x v="2"/>
    <x v="0"/>
  </r>
  <r>
    <n v="36"/>
    <s v="Male"/>
    <n v="2"/>
    <s v="Free"/>
    <s v="Unknown"/>
    <s v="Unknown"/>
    <n v="700"/>
    <n v="6"/>
    <s v="Radio/TV"/>
    <x v="0"/>
    <x v="2"/>
    <x v="0"/>
  </r>
  <r>
    <n v="44"/>
    <s v="Male"/>
    <n v="2"/>
    <s v="Free"/>
    <s v="Little"/>
    <s v="Unknown"/>
    <n v="5507"/>
    <n v="24"/>
    <s v="Repairs"/>
    <x v="0"/>
    <x v="2"/>
    <x v="2"/>
  </r>
  <r>
    <n v="24"/>
    <s v="Female"/>
    <n v="2"/>
    <s v="Own"/>
    <s v="Little"/>
    <s v="Little"/>
    <n v="3190"/>
    <n v="18"/>
    <s v="Radio/TV"/>
    <x v="0"/>
    <x v="1"/>
    <x v="2"/>
  </r>
  <r>
    <n v="53"/>
    <s v="Male"/>
    <n v="2"/>
    <s v="Free"/>
    <s v="Little"/>
    <s v="Little"/>
    <n v="7119"/>
    <n v="48"/>
    <s v="Furniture/Equipment"/>
    <x v="1"/>
    <x v="0"/>
    <x v="1"/>
  </r>
  <r>
    <n v="23"/>
    <s v="Female"/>
    <n v="2"/>
    <s v="Own"/>
    <s v="Moderate"/>
    <s v="Unknown"/>
    <n v="3488"/>
    <n v="24"/>
    <s v="Car"/>
    <x v="0"/>
    <x v="1"/>
    <x v="2"/>
  </r>
  <r>
    <n v="26"/>
    <s v="Female"/>
    <n v="1"/>
    <s v="Own"/>
    <s v="Little"/>
    <s v="Moderate"/>
    <n v="1113"/>
    <n v="18"/>
    <s v="Radio/TV"/>
    <x v="0"/>
    <x v="1"/>
    <x v="2"/>
  </r>
  <r>
    <n v="30"/>
    <s v="Male"/>
    <n v="2"/>
    <s v="Own"/>
    <s v="Little"/>
    <s v="Moderate"/>
    <n v="7966"/>
    <n v="26"/>
    <s v="Car"/>
    <x v="1"/>
    <x v="2"/>
    <x v="2"/>
  </r>
  <r>
    <n v="31"/>
    <s v="Female"/>
    <n v="2"/>
    <s v="Own"/>
    <s v="Moderate"/>
    <s v="Unknown"/>
    <n v="1532"/>
    <n v="15"/>
    <s v="Education"/>
    <x v="0"/>
    <x v="2"/>
    <x v="2"/>
  </r>
  <r>
    <n v="42"/>
    <s v="Male"/>
    <n v="1"/>
    <s v="Own"/>
    <s v="Little"/>
    <s v="Unknown"/>
    <n v="1503"/>
    <n v="4"/>
    <s v="Radio/TV"/>
    <x v="0"/>
    <x v="2"/>
    <x v="0"/>
  </r>
  <r>
    <n v="31"/>
    <s v="Male"/>
    <n v="2"/>
    <s v="Rent"/>
    <s v="Little"/>
    <s v="Little"/>
    <n v="2302"/>
    <n v="36"/>
    <s v="Radio/TV"/>
    <x v="0"/>
    <x v="2"/>
    <x v="1"/>
  </r>
  <r>
    <n v="41"/>
    <s v="Male"/>
    <n v="1"/>
    <s v="Own"/>
    <s v="Little"/>
    <s v="Little"/>
    <n v="662"/>
    <n v="6"/>
    <s v="Car"/>
    <x v="0"/>
    <x v="2"/>
    <x v="0"/>
  </r>
  <r>
    <n v="32"/>
    <s v="Male"/>
    <n v="2"/>
    <s v="Own"/>
    <s v="Little"/>
    <s v="Moderate"/>
    <n v="2273"/>
    <n v="36"/>
    <s v="Education"/>
    <x v="0"/>
    <x v="2"/>
    <x v="1"/>
  </r>
  <r>
    <n v="28"/>
    <s v="Female"/>
    <n v="2"/>
    <s v="Rent"/>
    <s v="Moderate"/>
    <s v="Moderate"/>
    <n v="2631"/>
    <n v="15"/>
    <s v="Car"/>
    <x v="0"/>
    <x v="1"/>
    <x v="2"/>
  </r>
  <r>
    <n v="41"/>
    <s v="Male"/>
    <n v="2"/>
    <s v="Rent"/>
    <s v="Little"/>
    <s v="Unknown"/>
    <n v="1503"/>
    <n v="12"/>
    <s v="Car"/>
    <x v="0"/>
    <x v="2"/>
    <x v="2"/>
  </r>
  <r>
    <n v="26"/>
    <s v="Male"/>
    <n v="2"/>
    <s v="Own"/>
    <s v="Moderate"/>
    <s v="Unknown"/>
    <n v="1311"/>
    <n v="24"/>
    <s v="Radio/TV"/>
    <x v="0"/>
    <x v="1"/>
    <x v="2"/>
  </r>
  <r>
    <n v="25"/>
    <s v="Male"/>
    <n v="2"/>
    <s v="Own"/>
    <s v="Unknown"/>
    <s v="Unknown"/>
    <n v="3105"/>
    <n v="24"/>
    <s v="Radio/TV"/>
    <x v="0"/>
    <x v="1"/>
    <x v="2"/>
  </r>
  <r>
    <n v="33"/>
    <s v="Male"/>
    <n v="2"/>
    <s v="Rent"/>
    <s v="Little"/>
    <s v="rich"/>
    <n v="2319"/>
    <n v="21"/>
    <s v="Education"/>
    <x v="0"/>
    <x v="2"/>
    <x v="2"/>
  </r>
  <r>
    <n v="75"/>
    <s v="Female"/>
    <n v="3"/>
    <s v="Own"/>
    <s v="Unknown"/>
    <s v="Little"/>
    <n v="1374"/>
    <n v="6"/>
    <s v="Car"/>
    <x v="0"/>
    <x v="0"/>
    <x v="0"/>
  </r>
  <r>
    <n v="37"/>
    <s v="Female"/>
    <n v="2"/>
    <s v="Own"/>
    <s v="Little"/>
    <s v="Moderate"/>
    <n v="3612"/>
    <n v="18"/>
    <s v="Furniture/Equipment"/>
    <x v="0"/>
    <x v="2"/>
    <x v="2"/>
  </r>
  <r>
    <n v="42"/>
    <s v="Male"/>
    <n v="3"/>
    <s v="Free"/>
    <s v="Little"/>
    <s v="Little"/>
    <n v="7763"/>
    <n v="48"/>
    <s v="Car"/>
    <x v="1"/>
    <x v="2"/>
    <x v="1"/>
  </r>
  <r>
    <n v="45"/>
    <s v="Female"/>
    <n v="1"/>
    <s v="Own"/>
    <s v="Little"/>
    <s v="rich"/>
    <n v="3049"/>
    <n v="18"/>
    <s v="Furniture/Equipment"/>
    <x v="0"/>
    <x v="2"/>
    <x v="2"/>
  </r>
  <r>
    <n v="23"/>
    <s v="Male"/>
    <n v="2"/>
    <s v="Rent"/>
    <s v="Little"/>
    <s v="Moderate"/>
    <n v="1534"/>
    <n v="12"/>
    <s v="Radio/TV"/>
    <x v="0"/>
    <x v="1"/>
    <x v="2"/>
  </r>
  <r>
    <n v="60"/>
    <s v="Male"/>
    <n v="2"/>
    <s v="Free"/>
    <s v="Little"/>
    <s v="Unknown"/>
    <n v="2032"/>
    <n v="24"/>
    <s v="Car"/>
    <x v="0"/>
    <x v="0"/>
    <x v="2"/>
  </r>
  <r>
    <n v="31"/>
    <s v="Male"/>
    <n v="2"/>
    <s v="Own"/>
    <s v="Unknown"/>
    <s v="Little"/>
    <n v="6350"/>
    <n v="30"/>
    <s v="Furniture/Equipment"/>
    <x v="2"/>
    <x v="2"/>
    <x v="2"/>
  </r>
  <r>
    <n v="34"/>
    <s v="Male"/>
    <n v="1"/>
    <s v="Own"/>
    <s v="Little"/>
    <s v="rich"/>
    <n v="2864"/>
    <n v="18"/>
    <s v="Furniture/Equipment"/>
    <x v="0"/>
    <x v="2"/>
    <x v="2"/>
  </r>
  <r>
    <n v="61"/>
    <s v="Male"/>
    <n v="1"/>
    <s v="Own"/>
    <s v="Little"/>
    <s v="Unknown"/>
    <n v="1255"/>
    <n v="12"/>
    <s v="Car"/>
    <x v="0"/>
    <x v="0"/>
    <x v="2"/>
  </r>
  <r>
    <n v="43"/>
    <s v="Male"/>
    <n v="2"/>
    <s v="Free"/>
    <s v="Little"/>
    <s v="Little"/>
    <n v="1333"/>
    <n v="24"/>
    <s v="Car"/>
    <x v="0"/>
    <x v="2"/>
    <x v="2"/>
  </r>
  <r>
    <n v="37"/>
    <s v="Female"/>
    <n v="2"/>
    <s v="Own"/>
    <s v="Little"/>
    <s v="Unknown"/>
    <n v="2022"/>
    <n v="24"/>
    <s v="Car"/>
    <x v="0"/>
    <x v="2"/>
    <x v="2"/>
  </r>
  <r>
    <n v="32"/>
    <s v="Male"/>
    <n v="2"/>
    <s v="Own"/>
    <s v="Little"/>
    <s v="Unknown"/>
    <n v="1552"/>
    <n v="24"/>
    <s v="Radio/TV"/>
    <x v="0"/>
    <x v="2"/>
    <x v="2"/>
  </r>
  <r>
    <n v="24"/>
    <s v="Female"/>
    <n v="1"/>
    <s v="Own"/>
    <s v="Little"/>
    <s v="Little"/>
    <n v="626"/>
    <n v="12"/>
    <s v="Radio/TV"/>
    <x v="0"/>
    <x v="1"/>
    <x v="2"/>
  </r>
  <r>
    <n v="35"/>
    <s v="Male"/>
    <n v="2"/>
    <s v="Free"/>
    <s v="Unknown"/>
    <s v="Unknown"/>
    <n v="8858"/>
    <n v="48"/>
    <s v="Car"/>
    <x v="1"/>
    <x v="2"/>
    <x v="1"/>
  </r>
  <r>
    <n v="23"/>
    <s v="Female"/>
    <n v="2"/>
    <s v="Own"/>
    <s v="Unknown"/>
    <s v="Unknown"/>
    <n v="996"/>
    <n v="12"/>
    <s v="Repairs"/>
    <x v="0"/>
    <x v="1"/>
    <x v="2"/>
  </r>
  <r>
    <n v="45"/>
    <s v="Male"/>
    <n v="1"/>
    <s v="Own"/>
    <s v="Quite rich"/>
    <s v="Unknown"/>
    <n v="1750"/>
    <n v="6"/>
    <s v="Radio/TV"/>
    <x v="0"/>
    <x v="2"/>
    <x v="0"/>
  </r>
  <r>
    <n v="34"/>
    <s v="Male"/>
    <n v="2"/>
    <s v="Own"/>
    <s v="Little"/>
    <s v="Little"/>
    <n v="6999"/>
    <n v="48"/>
    <s v="Radio/TV"/>
    <x v="1"/>
    <x v="2"/>
    <x v="1"/>
  </r>
  <r>
    <n v="27"/>
    <s v="Male"/>
    <n v="2"/>
    <s v="Own"/>
    <s v="Moderate"/>
    <s v="Moderate"/>
    <n v="1995"/>
    <n v="12"/>
    <s v="Car"/>
    <x v="0"/>
    <x v="1"/>
    <x v="2"/>
  </r>
  <r>
    <n v="67"/>
    <s v="Female"/>
    <n v="3"/>
    <s v="Own"/>
    <s v="Little"/>
    <s v="Moderate"/>
    <n v="1199"/>
    <n v="9"/>
    <s v="Education"/>
    <x v="0"/>
    <x v="0"/>
    <x v="0"/>
  </r>
  <r>
    <n v="22"/>
    <s v="Male"/>
    <n v="2"/>
    <s v="Own"/>
    <s v="Little"/>
    <s v="Moderate"/>
    <n v="1331"/>
    <n v="12"/>
    <s v="Radio/TV"/>
    <x v="0"/>
    <x v="1"/>
    <x v="2"/>
  </r>
  <r>
    <n v="28"/>
    <s v="Female"/>
    <n v="2"/>
    <s v="Own"/>
    <s v="Moderate"/>
    <s v="Moderate"/>
    <n v="2278"/>
    <n v="18"/>
    <s v="Car"/>
    <x v="0"/>
    <x v="1"/>
    <x v="2"/>
  </r>
  <r>
    <n v="29"/>
    <s v="Female"/>
    <n v="2"/>
    <s v="Own"/>
    <s v="Unknown"/>
    <s v="Unknown"/>
    <n v="5003"/>
    <n v="21"/>
    <s v="Car"/>
    <x v="0"/>
    <x v="1"/>
    <x v="2"/>
  </r>
  <r>
    <n v="27"/>
    <s v="Male"/>
    <n v="2"/>
    <s v="Own"/>
    <s v="Little"/>
    <s v="Little"/>
    <n v="3552"/>
    <n v="24"/>
    <s v="Furniture/Equipment"/>
    <x v="0"/>
    <x v="1"/>
    <x v="2"/>
  </r>
  <r>
    <n v="31"/>
    <s v="Male"/>
    <n v="1"/>
    <s v="Own"/>
    <s v="Little"/>
    <s v="Moderate"/>
    <n v="1928"/>
    <n v="18"/>
    <s v="Furniture/Equipment"/>
    <x v="0"/>
    <x v="2"/>
    <x v="2"/>
  </r>
  <r>
    <n v="49"/>
    <s v="Male"/>
    <n v="2"/>
    <s v="Free"/>
    <s v="Unknown"/>
    <s v="Little"/>
    <n v="2964"/>
    <n v="24"/>
    <s v="Car"/>
    <x v="0"/>
    <x v="2"/>
    <x v="2"/>
  </r>
  <r>
    <n v="24"/>
    <s v="Male"/>
    <n v="1"/>
    <s v="Rent"/>
    <s v="Little"/>
    <s v="Little"/>
    <n v="1546"/>
    <n v="24"/>
    <s v="Radio/TV"/>
    <x v="0"/>
    <x v="1"/>
    <x v="2"/>
  </r>
  <r>
    <n v="29"/>
    <s v="Female"/>
    <n v="2"/>
    <s v="Own"/>
    <s v="Little"/>
    <s v="rich"/>
    <n v="683"/>
    <n v="6"/>
    <s v="Radio/TV"/>
    <x v="0"/>
    <x v="1"/>
    <x v="0"/>
  </r>
  <r>
    <n v="37"/>
    <s v="Male"/>
    <n v="2"/>
    <s v="Free"/>
    <s v="Unknown"/>
    <s v="Moderate"/>
    <n v="12389"/>
    <n v="36"/>
    <s v="Car"/>
    <x v="1"/>
    <x v="2"/>
    <x v="1"/>
  </r>
  <r>
    <n v="37"/>
    <s v="Male"/>
    <n v="3"/>
    <s v="Own"/>
    <s v="Unknown"/>
    <s v="Moderate"/>
    <n v="4712"/>
    <n v="24"/>
    <s v="Business"/>
    <x v="0"/>
    <x v="2"/>
    <x v="2"/>
  </r>
  <r>
    <n v="23"/>
    <s v="Female"/>
    <n v="2"/>
    <s v="Rent"/>
    <s v="Moderate"/>
    <s v="Moderate"/>
    <n v="1553"/>
    <n v="24"/>
    <s v="Radio/TV"/>
    <x v="0"/>
    <x v="1"/>
    <x v="2"/>
  </r>
  <r>
    <n v="36"/>
    <s v="Male"/>
    <n v="2"/>
    <s v="Own"/>
    <s v="Little"/>
    <s v="Little"/>
    <n v="1372"/>
    <n v="12"/>
    <s v="Car"/>
    <x v="0"/>
    <x v="2"/>
    <x v="2"/>
  </r>
  <r>
    <n v="34"/>
    <s v="Male"/>
    <n v="2"/>
    <s v="Own"/>
    <s v="rich"/>
    <s v="Unknown"/>
    <n v="2578"/>
    <n v="24"/>
    <s v="Radio/TV"/>
    <x v="0"/>
    <x v="2"/>
    <x v="2"/>
  </r>
  <r>
    <n v="41"/>
    <s v="Male"/>
    <n v="2"/>
    <s v="Own"/>
    <s v="Unknown"/>
    <s v="Moderate"/>
    <n v="3979"/>
    <n v="48"/>
    <s v="Radio/TV"/>
    <x v="1"/>
    <x v="2"/>
    <x v="1"/>
  </r>
  <r>
    <n v="31"/>
    <s v="Female"/>
    <n v="2"/>
    <s v="Own"/>
    <s v="Little"/>
    <s v="Little"/>
    <n v="6758"/>
    <n v="48"/>
    <s v="Radio/TV"/>
    <x v="1"/>
    <x v="2"/>
    <x v="1"/>
  </r>
  <r>
    <n v="23"/>
    <s v="Female"/>
    <n v="1"/>
    <s v="Rent"/>
    <s v="Little"/>
    <s v="Little"/>
    <n v="3234"/>
    <n v="24"/>
    <s v="Furniture/Equipment"/>
    <x v="0"/>
    <x v="1"/>
    <x v="2"/>
  </r>
  <r>
    <n v="38"/>
    <s v="Male"/>
    <n v="2"/>
    <s v="Own"/>
    <s v="Little"/>
    <s v="Unknown"/>
    <n v="5954"/>
    <n v="30"/>
    <s v="Radio/TV"/>
    <x v="2"/>
    <x v="2"/>
    <x v="2"/>
  </r>
  <r>
    <n v="26"/>
    <s v="Female"/>
    <n v="3"/>
    <s v="Rent"/>
    <s v="Unknown"/>
    <s v="Unknown"/>
    <n v="5433"/>
    <n v="24"/>
    <s v="Car"/>
    <x v="0"/>
    <x v="1"/>
    <x v="2"/>
  </r>
  <r>
    <n v="22"/>
    <s v="Female"/>
    <n v="1"/>
    <s v="Own"/>
    <s v="Little"/>
    <s v="Little"/>
    <n v="806"/>
    <n v="15"/>
    <s v="Business"/>
    <x v="0"/>
    <x v="1"/>
    <x v="2"/>
  </r>
  <r>
    <n v="27"/>
    <s v="Male"/>
    <n v="1"/>
    <s v="Own"/>
    <s v="Little"/>
    <s v="Moderate"/>
    <n v="1082"/>
    <n v="9"/>
    <s v="Radio/TV"/>
    <x v="0"/>
    <x v="1"/>
    <x v="0"/>
  </r>
  <r>
    <n v="24"/>
    <s v="Female"/>
    <n v="2"/>
    <s v="Own"/>
    <s v="Little"/>
    <s v="Unknown"/>
    <n v="2788"/>
    <n v="15"/>
    <s v="Furniture/Equipment"/>
    <x v="0"/>
    <x v="1"/>
    <x v="2"/>
  </r>
  <r>
    <n v="27"/>
    <s v="Female"/>
    <n v="2"/>
    <s v="Own"/>
    <s v="Little"/>
    <s v="Moderate"/>
    <n v="2930"/>
    <n v="12"/>
    <s v="Radio/TV"/>
    <x v="0"/>
    <x v="1"/>
    <x v="2"/>
  </r>
  <r>
    <n v="33"/>
    <s v="Female"/>
    <n v="2"/>
    <s v="Own"/>
    <s v="Unknown"/>
    <s v="Unknown"/>
    <n v="1927"/>
    <n v="24"/>
    <s v="Education"/>
    <x v="0"/>
    <x v="2"/>
    <x v="2"/>
  </r>
  <r>
    <n v="27"/>
    <s v="Male"/>
    <n v="2"/>
    <s v="Own"/>
    <s v="Little"/>
    <s v="Moderate"/>
    <n v="2820"/>
    <n v="36"/>
    <s v="Car"/>
    <x v="0"/>
    <x v="1"/>
    <x v="1"/>
  </r>
  <r>
    <n v="27"/>
    <s v="Male"/>
    <n v="1"/>
    <s v="Own"/>
    <s v="Little"/>
    <s v="Unknown"/>
    <n v="937"/>
    <n v="24"/>
    <s v="Education"/>
    <x v="0"/>
    <x v="1"/>
    <x v="2"/>
  </r>
  <r>
    <n v="30"/>
    <s v="Male"/>
    <n v="2"/>
    <s v="Own"/>
    <s v="Little"/>
    <s v="Moderate"/>
    <n v="1056"/>
    <n v="18"/>
    <s v="Car"/>
    <x v="0"/>
    <x v="2"/>
    <x v="2"/>
  </r>
  <r>
    <n v="49"/>
    <s v="Male"/>
    <n v="1"/>
    <s v="Own"/>
    <s v="Little"/>
    <s v="Moderate"/>
    <n v="3124"/>
    <n v="12"/>
    <s v="Car"/>
    <x v="0"/>
    <x v="2"/>
    <x v="2"/>
  </r>
  <r>
    <n v="26"/>
    <s v="Female"/>
    <n v="2"/>
    <s v="Rent"/>
    <s v="Little"/>
    <s v="Unknown"/>
    <n v="1388"/>
    <n v="9"/>
    <s v="Furniture/Equipment"/>
    <x v="0"/>
    <x v="1"/>
    <x v="0"/>
  </r>
  <r>
    <n v="33"/>
    <s v="Male"/>
    <n v="1"/>
    <s v="Rent"/>
    <s v="Little"/>
    <s v="Moderate"/>
    <n v="2384"/>
    <n v="36"/>
    <s v="Repairs"/>
    <x v="0"/>
    <x v="2"/>
    <x v="1"/>
  </r>
  <r>
    <n v="52"/>
    <s v="Female"/>
    <n v="3"/>
    <s v="Free"/>
    <s v="Unknown"/>
    <s v="Unknown"/>
    <n v="2133"/>
    <n v="12"/>
    <s v="Car"/>
    <x v="0"/>
    <x v="0"/>
    <x v="2"/>
  </r>
  <r>
    <n v="20"/>
    <s v="Female"/>
    <n v="2"/>
    <s v="Rent"/>
    <s v="Little"/>
    <s v="Little"/>
    <n v="2039"/>
    <n v="18"/>
    <s v="Furniture/Equipment"/>
    <x v="0"/>
    <x v="1"/>
    <x v="2"/>
  </r>
  <r>
    <n v="36"/>
    <s v="Male"/>
    <n v="2"/>
    <s v="Rent"/>
    <s v="Little"/>
    <s v="Little"/>
    <n v="2799"/>
    <n v="9"/>
    <s v="Car"/>
    <x v="0"/>
    <x v="2"/>
    <x v="0"/>
  </r>
  <r>
    <n v="21"/>
    <s v="Male"/>
    <n v="1"/>
    <s v="Own"/>
    <s v="Little"/>
    <s v="Little"/>
    <n v="1289"/>
    <n v="12"/>
    <s v="Furniture/Equipment"/>
    <x v="0"/>
    <x v="1"/>
    <x v="2"/>
  </r>
  <r>
    <n v="47"/>
    <s v="Male"/>
    <n v="1"/>
    <s v="Own"/>
    <s v="Little"/>
    <s v="Little"/>
    <n v="1217"/>
    <n v="18"/>
    <s v="Domestic appliances"/>
    <x v="0"/>
    <x v="2"/>
    <x v="2"/>
  </r>
  <r>
    <n v="60"/>
    <s v="Male"/>
    <n v="2"/>
    <s v="Own"/>
    <s v="Little"/>
    <s v="Little"/>
    <n v="2246"/>
    <n v="12"/>
    <s v="Furniture/Equipment"/>
    <x v="0"/>
    <x v="0"/>
    <x v="2"/>
  </r>
  <r>
    <n v="58"/>
    <s v="Female"/>
    <n v="1"/>
    <s v="Own"/>
    <s v="Little"/>
    <s v="Little"/>
    <n v="385"/>
    <n v="12"/>
    <s v="Radio/TV"/>
    <x v="0"/>
    <x v="0"/>
    <x v="2"/>
  </r>
  <r>
    <n v="42"/>
    <s v="Female"/>
    <n v="2"/>
    <s v="Rent"/>
    <s v="Unknown"/>
    <s v="Moderate"/>
    <n v="1965"/>
    <n v="24"/>
    <s v="Car"/>
    <x v="0"/>
    <x v="2"/>
    <x v="2"/>
  </r>
  <r>
    <n v="36"/>
    <s v="Female"/>
    <n v="1"/>
    <s v="Own"/>
    <s v="rich"/>
    <s v="Unknown"/>
    <n v="1572"/>
    <n v="21"/>
    <s v="Business"/>
    <x v="0"/>
    <x v="2"/>
    <x v="2"/>
  </r>
  <r>
    <n v="20"/>
    <s v="Female"/>
    <n v="1"/>
    <s v="Rent"/>
    <s v="Little"/>
    <s v="Moderate"/>
    <n v="2718"/>
    <n v="24"/>
    <s v="Car"/>
    <x v="0"/>
    <x v="1"/>
    <x v="2"/>
  </r>
  <r>
    <n v="40"/>
    <s v="Male"/>
    <n v="3"/>
    <s v="Own"/>
    <s v="Unknown"/>
    <s v="Little"/>
    <n v="1358"/>
    <n v="24"/>
    <s v="Vacation/Others"/>
    <x v="0"/>
    <x v="2"/>
    <x v="2"/>
  </r>
  <r>
    <n v="32"/>
    <s v="Female"/>
    <n v="1"/>
    <s v="Own"/>
    <s v="Moderate"/>
    <s v="Moderate"/>
    <n v="931"/>
    <n v="6"/>
    <s v="Car"/>
    <x v="0"/>
    <x v="2"/>
    <x v="0"/>
  </r>
  <r>
    <n v="23"/>
    <s v="Female"/>
    <n v="2"/>
    <s v="Rent"/>
    <s v="Little"/>
    <s v="Little"/>
    <n v="1442"/>
    <n v="24"/>
    <s v="Car"/>
    <x v="0"/>
    <x v="1"/>
    <x v="2"/>
  </r>
  <r>
    <n v="36"/>
    <s v="Male"/>
    <n v="1"/>
    <s v="Own"/>
    <s v="Little"/>
    <s v="Moderate"/>
    <n v="4241"/>
    <n v="24"/>
    <s v="Business"/>
    <x v="0"/>
    <x v="2"/>
    <x v="2"/>
  </r>
  <r>
    <n v="31"/>
    <s v="Male"/>
    <n v="2"/>
    <s v="Own"/>
    <s v="Little"/>
    <s v="Unknown"/>
    <n v="2775"/>
    <n v="18"/>
    <s v="Car"/>
    <x v="0"/>
    <x v="2"/>
    <x v="2"/>
  </r>
  <r>
    <n v="32"/>
    <s v="Male"/>
    <n v="2"/>
    <s v="Free"/>
    <s v="Little"/>
    <s v="Unknown"/>
    <n v="3863"/>
    <n v="24"/>
    <s v="Business"/>
    <x v="0"/>
    <x v="2"/>
    <x v="2"/>
  </r>
  <r>
    <n v="45"/>
    <s v="Female"/>
    <n v="2"/>
    <s v="Own"/>
    <s v="Little"/>
    <s v="Moderate"/>
    <n v="2329"/>
    <n v="7"/>
    <s v="Radio/TV"/>
    <x v="0"/>
    <x v="2"/>
    <x v="0"/>
  </r>
  <r>
    <n v="30"/>
    <s v="Female"/>
    <n v="2"/>
    <s v="Own"/>
    <s v="Little"/>
    <s v="Moderate"/>
    <n v="918"/>
    <n v="9"/>
    <s v="Furniture/Equipment"/>
    <x v="0"/>
    <x v="2"/>
    <x v="0"/>
  </r>
  <r>
    <n v="34"/>
    <s v="Female"/>
    <n v="1"/>
    <s v="Free"/>
    <s v="Little"/>
    <s v="Moderate"/>
    <n v="1837"/>
    <n v="24"/>
    <s v="Education"/>
    <x v="0"/>
    <x v="2"/>
    <x v="2"/>
  </r>
  <r>
    <n v="28"/>
    <s v="Female"/>
    <n v="3"/>
    <s v="Own"/>
    <s v="Little"/>
    <s v="Unknown"/>
    <n v="3349"/>
    <n v="36"/>
    <s v="Furniture/Equipment"/>
    <x v="0"/>
    <x v="1"/>
    <x v="1"/>
  </r>
  <r>
    <n v="23"/>
    <s v="Female"/>
    <n v="2"/>
    <s v="Own"/>
    <s v="Little"/>
    <s v="rich"/>
    <n v="1275"/>
    <n v="10"/>
    <s v="Furniture/Equipment"/>
    <x v="0"/>
    <x v="1"/>
    <x v="0"/>
  </r>
  <r>
    <n v="22"/>
    <s v="Male"/>
    <n v="2"/>
    <s v="Own"/>
    <s v="Quite rich"/>
    <s v="Little"/>
    <n v="2828"/>
    <n v="24"/>
    <s v="Furniture/Equipment"/>
    <x v="0"/>
    <x v="1"/>
    <x v="2"/>
  </r>
  <r>
    <n v="74"/>
    <s v="Male"/>
    <n v="3"/>
    <s v="Own"/>
    <s v="Little"/>
    <s v="Unknown"/>
    <n v="4526"/>
    <n v="24"/>
    <s v="Business"/>
    <x v="0"/>
    <x v="0"/>
    <x v="2"/>
  </r>
  <r>
    <n v="50"/>
    <s v="Female"/>
    <n v="2"/>
    <s v="Free"/>
    <s v="Moderate"/>
    <s v="Moderate"/>
    <n v="2671"/>
    <n v="36"/>
    <s v="Radio/TV"/>
    <x v="0"/>
    <x v="2"/>
    <x v="1"/>
  </r>
  <r>
    <n v="33"/>
    <s v="Male"/>
    <n v="2"/>
    <s v="Own"/>
    <s v="Little"/>
    <s v="Unknown"/>
    <n v="2051"/>
    <n v="18"/>
    <s v="Radio/TV"/>
    <x v="0"/>
    <x v="2"/>
    <x v="2"/>
  </r>
  <r>
    <n v="45"/>
    <s v="Male"/>
    <n v="2"/>
    <s v="Free"/>
    <s v="Unknown"/>
    <s v="Unknown"/>
    <n v="1300"/>
    <n v="15"/>
    <s v="Car"/>
    <x v="0"/>
    <x v="2"/>
    <x v="2"/>
  </r>
  <r>
    <n v="22"/>
    <s v="Female"/>
    <n v="2"/>
    <s v="Own"/>
    <s v="Moderate"/>
    <s v="Little"/>
    <n v="741"/>
    <n v="12"/>
    <s v="Domestic appliances"/>
    <x v="0"/>
    <x v="1"/>
    <x v="2"/>
  </r>
  <r>
    <n v="48"/>
    <s v="Female"/>
    <n v="1"/>
    <s v="Free"/>
    <s v="Moderate"/>
    <s v="rich"/>
    <n v="1240"/>
    <n v="10"/>
    <s v="Car"/>
    <x v="0"/>
    <x v="2"/>
    <x v="0"/>
  </r>
  <r>
    <n v="29"/>
    <s v="Female"/>
    <n v="2"/>
    <s v="Own"/>
    <s v="rich"/>
    <s v="Little"/>
    <n v="3357"/>
    <n v="21"/>
    <s v="Radio/TV"/>
    <x v="0"/>
    <x v="1"/>
    <x v="2"/>
  </r>
  <r>
    <n v="22"/>
    <s v="Female"/>
    <n v="2"/>
    <s v="Rent"/>
    <s v="Little"/>
    <s v="Little"/>
    <n v="3632"/>
    <n v="24"/>
    <s v="Car"/>
    <x v="0"/>
    <x v="1"/>
    <x v="2"/>
  </r>
  <r>
    <n v="22"/>
    <s v="Female"/>
    <n v="2"/>
    <s v="Own"/>
    <s v="Little"/>
    <s v="Unknown"/>
    <n v="1808"/>
    <n v="18"/>
    <s v="Furniture/Equipment"/>
    <x v="0"/>
    <x v="1"/>
    <x v="2"/>
  </r>
  <r>
    <n v="48"/>
    <s v="Male"/>
    <n v="3"/>
    <s v="Own"/>
    <s v="Unknown"/>
    <s v="Moderate"/>
    <n v="12204"/>
    <n v="48"/>
    <s v="Business"/>
    <x v="1"/>
    <x v="2"/>
    <x v="1"/>
  </r>
  <r>
    <n v="27"/>
    <s v="Male"/>
    <n v="3"/>
    <s v="Free"/>
    <s v="Unknown"/>
    <s v="Moderate"/>
    <n v="9157"/>
    <n v="60"/>
    <s v="Radio/TV"/>
    <x v="1"/>
    <x v="1"/>
    <x v="1"/>
  </r>
  <r>
    <n v="37"/>
    <s v="Male"/>
    <n v="2"/>
    <s v="Rent"/>
    <s v="Little"/>
    <s v="Little"/>
    <n v="3676"/>
    <n v="6"/>
    <s v="Car"/>
    <x v="0"/>
    <x v="2"/>
    <x v="0"/>
  </r>
  <r>
    <n v="21"/>
    <s v="Female"/>
    <n v="2"/>
    <s v="Rent"/>
    <s v="Moderate"/>
    <s v="Moderate"/>
    <n v="3441"/>
    <n v="30"/>
    <s v="Furniture/Equipment"/>
    <x v="0"/>
    <x v="1"/>
    <x v="2"/>
  </r>
  <r>
    <n v="49"/>
    <s v="Male"/>
    <n v="1"/>
    <s v="Own"/>
    <s v="Little"/>
    <s v="Unknown"/>
    <n v="640"/>
    <n v="12"/>
    <s v="Car"/>
    <x v="0"/>
    <x v="2"/>
    <x v="2"/>
  </r>
  <r>
    <n v="27"/>
    <s v="Male"/>
    <n v="2"/>
    <s v="Own"/>
    <s v="Little"/>
    <s v="Moderate"/>
    <n v="3652"/>
    <n v="21"/>
    <s v="Business"/>
    <x v="0"/>
    <x v="1"/>
    <x v="2"/>
  </r>
  <r>
    <n v="32"/>
    <s v="Male"/>
    <n v="2"/>
    <s v="Own"/>
    <s v="Little"/>
    <s v="Unknown"/>
    <n v="1530"/>
    <n v="18"/>
    <s v="Car"/>
    <x v="0"/>
    <x v="2"/>
    <x v="2"/>
  </r>
  <r>
    <n v="38"/>
    <s v="Male"/>
    <n v="2"/>
    <s v="Own"/>
    <s v="Unknown"/>
    <s v="Unknown"/>
    <n v="3914"/>
    <n v="48"/>
    <s v="Business"/>
    <x v="1"/>
    <x v="2"/>
    <x v="1"/>
  </r>
  <r>
    <n v="22"/>
    <s v="Female"/>
    <n v="2"/>
    <s v="Rent"/>
    <s v="Little"/>
    <s v="Little"/>
    <n v="1858"/>
    <n v="12"/>
    <s v="Furniture/Equipment"/>
    <x v="0"/>
    <x v="1"/>
    <x v="2"/>
  </r>
  <r>
    <n v="65"/>
    <s v="Male"/>
    <n v="2"/>
    <s v="Free"/>
    <s v="Little"/>
    <s v="Little"/>
    <n v="2600"/>
    <n v="18"/>
    <s v="Radio/TV"/>
    <x v="0"/>
    <x v="0"/>
    <x v="2"/>
  </r>
  <r>
    <n v="35"/>
    <s v="Male"/>
    <n v="2"/>
    <s v="Own"/>
    <s v="Unknown"/>
    <s v="Unknown"/>
    <n v="1979"/>
    <n v="15"/>
    <s v="Radio/TV"/>
    <x v="0"/>
    <x v="2"/>
    <x v="2"/>
  </r>
  <r>
    <n v="41"/>
    <s v="Male"/>
    <n v="2"/>
    <s v="Own"/>
    <s v="Little"/>
    <s v="rich"/>
    <n v="2116"/>
    <n v="6"/>
    <s v="Furniture/Equipment"/>
    <x v="0"/>
    <x v="2"/>
    <x v="0"/>
  </r>
  <r>
    <n v="29"/>
    <s v="Male"/>
    <n v="2"/>
    <s v="Own"/>
    <s v="Moderate"/>
    <s v="Moderate"/>
    <n v="1437"/>
    <n v="9"/>
    <s v="Car"/>
    <x v="0"/>
    <x v="1"/>
    <x v="0"/>
  </r>
  <r>
    <n v="36"/>
    <s v="Male"/>
    <n v="2"/>
    <s v="Own"/>
    <s v="Quite rich"/>
    <s v="Unknown"/>
    <n v="4042"/>
    <n v="42"/>
    <s v="Furniture/Equipment"/>
    <x v="1"/>
    <x v="2"/>
    <x v="1"/>
  </r>
  <r>
    <n v="64"/>
    <s v="Male"/>
    <n v="1"/>
    <s v="Own"/>
    <s v="Unknown"/>
    <s v="Unknown"/>
    <n v="3832"/>
    <n v="9"/>
    <s v="Education"/>
    <x v="0"/>
    <x v="0"/>
    <x v="0"/>
  </r>
  <r>
    <n v="28"/>
    <s v="Female"/>
    <n v="2"/>
    <s v="Own"/>
    <s v="Little"/>
    <s v="Little"/>
    <n v="3660"/>
    <n v="24"/>
    <s v="Radio/TV"/>
    <x v="0"/>
    <x v="1"/>
    <x v="2"/>
  </r>
  <r>
    <n v="44"/>
    <s v="Male"/>
    <n v="2"/>
    <s v="Own"/>
    <s v="Little"/>
    <s v="Little"/>
    <n v="1553"/>
    <n v="18"/>
    <s v="Furniture/Equipment"/>
    <x v="0"/>
    <x v="2"/>
    <x v="2"/>
  </r>
  <r>
    <n v="23"/>
    <s v="Male"/>
    <n v="2"/>
    <s v="Own"/>
    <s v="Unknown"/>
    <s v="Moderate"/>
    <n v="1444"/>
    <n v="15"/>
    <s v="Radio/TV"/>
    <x v="0"/>
    <x v="1"/>
    <x v="2"/>
  </r>
  <r>
    <n v="19"/>
    <s v="Female"/>
    <n v="2"/>
    <s v="Rent"/>
    <s v="Little"/>
    <s v="Unknown"/>
    <n v="1980"/>
    <n v="9"/>
    <s v="Furniture/Equipment"/>
    <x v="0"/>
    <x v="1"/>
    <x v="0"/>
  </r>
  <r>
    <n v="25"/>
    <s v="Female"/>
    <n v="1"/>
    <s v="Own"/>
    <s v="Little"/>
    <s v="Moderate"/>
    <n v="1355"/>
    <n v="24"/>
    <s v="Car"/>
    <x v="0"/>
    <x v="1"/>
    <x v="2"/>
  </r>
  <r>
    <n v="47"/>
    <s v="Male"/>
    <n v="2"/>
    <s v="Own"/>
    <s v="Little"/>
    <s v="Unknown"/>
    <n v="1393"/>
    <n v="12"/>
    <s v="Education"/>
    <x v="0"/>
    <x v="2"/>
    <x v="2"/>
  </r>
  <r>
    <n v="28"/>
    <s v="Female"/>
    <n v="2"/>
    <s v="Own"/>
    <s v="Quite rich"/>
    <s v="Unknown"/>
    <n v="1376"/>
    <n v="24"/>
    <s v="Radio/TV"/>
    <x v="0"/>
    <x v="1"/>
    <x v="2"/>
  </r>
  <r>
    <n v="21"/>
    <s v="Male"/>
    <n v="2"/>
    <s v="Own"/>
    <s v="Little"/>
    <s v="Unknown"/>
    <n v="15653"/>
    <n v="60"/>
    <s v="Radio/TV"/>
    <x v="1"/>
    <x v="1"/>
    <x v="1"/>
  </r>
  <r>
    <n v="34"/>
    <s v="Female"/>
    <n v="2"/>
    <s v="Own"/>
    <s v="Little"/>
    <s v="Unknown"/>
    <n v="1493"/>
    <n v="12"/>
    <s v="Radio/TV"/>
    <x v="0"/>
    <x v="2"/>
    <x v="2"/>
  </r>
  <r>
    <n v="26"/>
    <s v="Male"/>
    <n v="2"/>
    <s v="Own"/>
    <s v="Little"/>
    <s v="Little"/>
    <n v="4370"/>
    <n v="42"/>
    <s v="Radio/TV"/>
    <x v="1"/>
    <x v="1"/>
    <x v="1"/>
  </r>
  <r>
    <n v="27"/>
    <s v="Female"/>
    <n v="0"/>
    <s v="Own"/>
    <s v="Little"/>
    <s v="Little"/>
    <n v="750"/>
    <n v="18"/>
    <s v="Education"/>
    <x v="0"/>
    <x v="1"/>
    <x v="2"/>
  </r>
  <r>
    <n v="38"/>
    <s v="Male"/>
    <n v="1"/>
    <s v="Own"/>
    <s v="Little"/>
    <s v="Moderate"/>
    <n v="1308"/>
    <n v="15"/>
    <s v="Repairs"/>
    <x v="0"/>
    <x v="2"/>
    <x v="2"/>
  </r>
  <r>
    <n v="40"/>
    <s v="Male"/>
    <n v="3"/>
    <s v="Own"/>
    <s v="Moderate"/>
    <s v="Unknown"/>
    <n v="4623"/>
    <n v="15"/>
    <s v="Education"/>
    <x v="0"/>
    <x v="2"/>
    <x v="2"/>
  </r>
  <r>
    <n v="33"/>
    <s v="Male"/>
    <n v="2"/>
    <s v="Own"/>
    <s v="Little"/>
    <s v="Unknown"/>
    <n v="1851"/>
    <n v="24"/>
    <s v="Radio/TV"/>
    <x v="0"/>
    <x v="2"/>
    <x v="2"/>
  </r>
  <r>
    <n v="32"/>
    <s v="Male"/>
    <n v="3"/>
    <s v="Own"/>
    <s v="Little"/>
    <s v="Little"/>
    <n v="1880"/>
    <n v="18"/>
    <s v="Radio/TV"/>
    <x v="0"/>
    <x v="2"/>
    <x v="2"/>
  </r>
  <r>
    <n v="27"/>
    <s v="Male"/>
    <n v="2"/>
    <s v="Rent"/>
    <s v="Unknown"/>
    <s v="Unknown"/>
    <n v="7980"/>
    <n v="36"/>
    <s v="Business"/>
    <x v="1"/>
    <x v="1"/>
    <x v="1"/>
  </r>
  <r>
    <n v="32"/>
    <s v="Male"/>
    <n v="2"/>
    <s v="Own"/>
    <s v="Little"/>
    <s v="Little"/>
    <n v="4583"/>
    <n v="30"/>
    <s v="Furniture/Equipment"/>
    <x v="2"/>
    <x v="2"/>
    <x v="2"/>
  </r>
  <r>
    <n v="26"/>
    <s v="Female"/>
    <n v="2"/>
    <s v="Own"/>
    <s v="Quite rich"/>
    <s v="Unknown"/>
    <n v="1386"/>
    <n v="12"/>
    <s v="Car"/>
    <x v="0"/>
    <x v="1"/>
    <x v="2"/>
  </r>
  <r>
    <n v="38"/>
    <s v="Male"/>
    <n v="2"/>
    <s v="Free"/>
    <s v="Little"/>
    <s v="rich"/>
    <n v="947"/>
    <n v="24"/>
    <s v="Car"/>
    <x v="0"/>
    <x v="2"/>
    <x v="2"/>
  </r>
  <r>
    <n v="40"/>
    <s v="Male"/>
    <n v="1"/>
    <s v="Rent"/>
    <s v="Little"/>
    <s v="Little"/>
    <n v="684"/>
    <n v="12"/>
    <s v="Education"/>
    <x v="0"/>
    <x v="2"/>
    <x v="2"/>
  </r>
  <r>
    <n v="50"/>
    <s v="Male"/>
    <n v="3"/>
    <s v="Free"/>
    <s v="Little"/>
    <s v="Little"/>
    <n v="7476"/>
    <n v="48"/>
    <s v="Education"/>
    <x v="1"/>
    <x v="2"/>
    <x v="1"/>
  </r>
  <r>
    <n v="37"/>
    <s v="Male"/>
    <n v="1"/>
    <s v="Own"/>
    <s v="Little"/>
    <s v="Moderate"/>
    <n v="1922"/>
    <n v="12"/>
    <s v="Furniture/Equipment"/>
    <x v="0"/>
    <x v="2"/>
    <x v="2"/>
  </r>
  <r>
    <n v="45"/>
    <s v="Male"/>
    <n v="2"/>
    <s v="Own"/>
    <s v="Little"/>
    <s v="Little"/>
    <n v="2303"/>
    <n v="24"/>
    <s v="Car"/>
    <x v="0"/>
    <x v="2"/>
    <x v="2"/>
  </r>
  <r>
    <n v="42"/>
    <s v="Male"/>
    <n v="3"/>
    <s v="Own"/>
    <s v="Moderate"/>
    <s v="Moderate"/>
    <n v="8086"/>
    <n v="36"/>
    <s v="Car"/>
    <x v="1"/>
    <x v="2"/>
    <x v="1"/>
  </r>
  <r>
    <n v="35"/>
    <s v="Male"/>
    <n v="2"/>
    <s v="Own"/>
    <s v="Little"/>
    <s v="Unknown"/>
    <n v="2346"/>
    <n v="24"/>
    <s v="Car"/>
    <x v="0"/>
    <x v="2"/>
    <x v="2"/>
  </r>
  <r>
    <n v="22"/>
    <s v="Male"/>
    <n v="2"/>
    <s v="Free"/>
    <s v="Little"/>
    <s v="Little"/>
    <n v="3973"/>
    <n v="14"/>
    <s v="Car"/>
    <x v="0"/>
    <x v="1"/>
    <x v="2"/>
  </r>
  <r>
    <n v="41"/>
    <s v="Male"/>
    <n v="1"/>
    <s v="Own"/>
    <s v="Little"/>
    <s v="Moderate"/>
    <n v="888"/>
    <n v="12"/>
    <s v="Car"/>
    <x v="0"/>
    <x v="2"/>
    <x v="2"/>
  </r>
  <r>
    <n v="37"/>
    <s v="Male"/>
    <n v="2"/>
    <s v="Own"/>
    <s v="Unknown"/>
    <s v="Unknown"/>
    <n v="10222"/>
    <n v="48"/>
    <s v="Radio/TV"/>
    <x v="1"/>
    <x v="2"/>
    <x v="1"/>
  </r>
  <r>
    <n v="28"/>
    <s v="Female"/>
    <n v="2"/>
    <s v="Own"/>
    <s v="Little"/>
    <s v="Moderate"/>
    <n v="4221"/>
    <n v="30"/>
    <s v="Business"/>
    <x v="2"/>
    <x v="1"/>
    <x v="2"/>
  </r>
  <r>
    <n v="41"/>
    <s v="Male"/>
    <n v="2"/>
    <s v="Own"/>
    <s v="Little"/>
    <s v="Moderate"/>
    <n v="6361"/>
    <n v="18"/>
    <s v="Furniture/Equipment"/>
    <x v="0"/>
    <x v="2"/>
    <x v="2"/>
  </r>
  <r>
    <n v="23"/>
    <s v="Male"/>
    <n v="2"/>
    <s v="Rent"/>
    <s v="Little"/>
    <s v="rich"/>
    <n v="1297"/>
    <n v="12"/>
    <s v="Radio/TV"/>
    <x v="0"/>
    <x v="1"/>
    <x v="2"/>
  </r>
  <r>
    <n v="23"/>
    <s v="Male"/>
    <n v="2"/>
    <s v="Own"/>
    <s v="Unknown"/>
    <s v="Little"/>
    <n v="900"/>
    <n v="12"/>
    <s v="Car"/>
    <x v="0"/>
    <x v="1"/>
    <x v="2"/>
  </r>
  <r>
    <n v="50"/>
    <s v="Male"/>
    <n v="2"/>
    <s v="Own"/>
    <s v="Little"/>
    <s v="Unknown"/>
    <n v="2241"/>
    <n v="21"/>
    <s v="Furniture/Equipment"/>
    <x v="0"/>
    <x v="2"/>
    <x v="2"/>
  </r>
  <r>
    <n v="35"/>
    <s v="Male"/>
    <n v="3"/>
    <s v="Own"/>
    <s v="Little"/>
    <s v="Moderate"/>
    <n v="1050"/>
    <n v="6"/>
    <s v="Furniture/Equipment"/>
    <x v="0"/>
    <x v="2"/>
    <x v="0"/>
  </r>
  <r>
    <n v="50"/>
    <s v="Female"/>
    <n v="1"/>
    <s v="Own"/>
    <s v="Little"/>
    <s v="rich"/>
    <n v="1047"/>
    <n v="6"/>
    <s v="Education"/>
    <x v="0"/>
    <x v="2"/>
    <x v="0"/>
  </r>
  <r>
    <n v="27"/>
    <s v="Male"/>
    <n v="3"/>
    <s v="Own"/>
    <s v="Little"/>
    <s v="Unknown"/>
    <n v="6314"/>
    <n v="24"/>
    <s v="Vacation/Others"/>
    <x v="0"/>
    <x v="1"/>
    <x v="2"/>
  </r>
  <r>
    <n v="34"/>
    <s v="Male"/>
    <n v="2"/>
    <s v="Own"/>
    <s v="rich"/>
    <s v="Moderate"/>
    <n v="3496"/>
    <n v="30"/>
    <s v="Furniture/Equipment"/>
    <x v="0"/>
    <x v="2"/>
    <x v="2"/>
  </r>
  <r>
    <n v="27"/>
    <s v="Female"/>
    <n v="2"/>
    <s v="Own"/>
    <s v="Little"/>
    <s v="Unknown"/>
    <n v="3609"/>
    <n v="48"/>
    <s v="Business"/>
    <x v="1"/>
    <x v="1"/>
    <x v="1"/>
  </r>
  <r>
    <n v="43"/>
    <s v="Male"/>
    <n v="2"/>
    <s v="Rent"/>
    <s v="Little"/>
    <s v="Little"/>
    <n v="4843"/>
    <n v="12"/>
    <s v="Car"/>
    <x v="0"/>
    <x v="2"/>
    <x v="2"/>
  </r>
  <r>
    <n v="47"/>
    <s v="Male"/>
    <n v="2"/>
    <s v="Own"/>
    <s v="Little"/>
    <s v="rich"/>
    <n v="3017"/>
    <n v="30"/>
    <s v="Radio/TV"/>
    <x v="0"/>
    <x v="2"/>
    <x v="2"/>
  </r>
  <r>
    <n v="27"/>
    <s v="Male"/>
    <n v="1"/>
    <s v="Own"/>
    <s v="Moderate"/>
    <s v="Unknown"/>
    <n v="4139"/>
    <n v="24"/>
    <s v="Business"/>
    <x v="0"/>
    <x v="1"/>
    <x v="2"/>
  </r>
  <r>
    <n v="31"/>
    <s v="Male"/>
    <n v="2"/>
    <s v="Own"/>
    <s v="Moderate"/>
    <s v="Unknown"/>
    <n v="5742"/>
    <n v="36"/>
    <s v="Business"/>
    <x v="2"/>
    <x v="2"/>
    <x v="1"/>
  </r>
  <r>
    <n v="42"/>
    <s v="Male"/>
    <n v="3"/>
    <s v="Own"/>
    <s v="Little"/>
    <s v="Unknown"/>
    <n v="10366"/>
    <n v="60"/>
    <s v="Car"/>
    <x v="1"/>
    <x v="2"/>
    <x v="1"/>
  </r>
  <r>
    <n v="24"/>
    <s v="Male"/>
    <n v="2"/>
    <s v="Own"/>
    <s v="Quite rich"/>
    <s v="Unknown"/>
    <n v="2080"/>
    <n v="6"/>
    <s v="Car"/>
    <x v="0"/>
    <x v="1"/>
    <x v="0"/>
  </r>
  <r>
    <n v="41"/>
    <s v="Male"/>
    <n v="1"/>
    <s v="Own"/>
    <s v="Quite rich"/>
    <s v="Unknown"/>
    <n v="2580"/>
    <n v="21"/>
    <s v="Business"/>
    <x v="0"/>
    <x v="2"/>
    <x v="2"/>
  </r>
  <r>
    <n v="26"/>
    <s v="Female"/>
    <n v="3"/>
    <s v="Rent"/>
    <s v="Little"/>
    <s v="Unknown"/>
    <n v="4530"/>
    <n v="30"/>
    <s v="Radio/TV"/>
    <x v="2"/>
    <x v="1"/>
    <x v="2"/>
  </r>
  <r>
    <n v="33"/>
    <s v="Male"/>
    <n v="2"/>
    <s v="Own"/>
    <s v="Little"/>
    <s v="Unknown"/>
    <n v="5150"/>
    <n v="24"/>
    <s v="Furniture/Equipment"/>
    <x v="0"/>
    <x v="2"/>
    <x v="2"/>
  </r>
  <r>
    <n v="24"/>
    <s v="Male"/>
    <n v="2"/>
    <s v="Own"/>
    <s v="Moderate"/>
    <s v="Moderate"/>
    <n v="5595"/>
    <n v="72"/>
    <s v="Radio/TV"/>
    <x v="1"/>
    <x v="1"/>
    <x v="1"/>
  </r>
  <r>
    <n v="64"/>
    <s v="Male"/>
    <n v="1"/>
    <s v="Rent"/>
    <s v="Little"/>
    <s v="Little"/>
    <n v="2384"/>
    <n v="24"/>
    <s v="Radio/TV"/>
    <x v="0"/>
    <x v="0"/>
    <x v="2"/>
  </r>
  <r>
    <n v="26"/>
    <s v="Female"/>
    <n v="2"/>
    <s v="Own"/>
    <s v="Little"/>
    <s v="Unknown"/>
    <n v="1453"/>
    <n v="18"/>
    <s v="Radio/TV"/>
    <x v="0"/>
    <x v="1"/>
    <x v="2"/>
  </r>
  <r>
    <n v="56"/>
    <s v="Female"/>
    <n v="2"/>
    <s v="Own"/>
    <s v="Little"/>
    <s v="Unknown"/>
    <n v="1538"/>
    <n v="6"/>
    <s v="Education"/>
    <x v="0"/>
    <x v="0"/>
    <x v="0"/>
  </r>
  <r>
    <n v="37"/>
    <s v="Male"/>
    <n v="2"/>
    <s v="Free"/>
    <s v="Unknown"/>
    <s v="Unknown"/>
    <n v="2279"/>
    <n v="12"/>
    <s v="Radio/TV"/>
    <x v="0"/>
    <x v="2"/>
    <x v="2"/>
  </r>
  <r>
    <n v="33"/>
    <s v="Male"/>
    <n v="2"/>
    <s v="Own"/>
    <s v="Little"/>
    <s v="Unknown"/>
    <n v="1478"/>
    <n v="15"/>
    <s v="Radio/TV"/>
    <x v="0"/>
    <x v="2"/>
    <x v="2"/>
  </r>
  <r>
    <n v="47"/>
    <s v="Male"/>
    <n v="2"/>
    <s v="Free"/>
    <s v="Little"/>
    <s v="Unknown"/>
    <n v="5103"/>
    <n v="24"/>
    <s v="Radio/TV"/>
    <x v="0"/>
    <x v="2"/>
    <x v="2"/>
  </r>
  <r>
    <n v="31"/>
    <s v="Male"/>
    <n v="1"/>
    <s v="Own"/>
    <s v="Moderate"/>
    <s v="Moderate"/>
    <n v="9857"/>
    <n v="36"/>
    <s v="Business"/>
    <x v="1"/>
    <x v="2"/>
    <x v="1"/>
  </r>
  <r>
    <n v="34"/>
    <s v="Male"/>
    <n v="2"/>
    <s v="Free"/>
    <s v="Unknown"/>
    <s v="Unknown"/>
    <n v="6527"/>
    <n v="60"/>
    <s v="Car"/>
    <x v="1"/>
    <x v="2"/>
    <x v="1"/>
  </r>
  <r>
    <n v="27"/>
    <s v="Male"/>
    <n v="2"/>
    <s v="Own"/>
    <s v="Unknown"/>
    <s v="rich"/>
    <n v="1347"/>
    <n v="10"/>
    <s v="Radio/TV"/>
    <x v="0"/>
    <x v="1"/>
    <x v="0"/>
  </r>
  <r>
    <n v="30"/>
    <s v="Male"/>
    <n v="2"/>
    <s v="Free"/>
    <s v="Moderate"/>
    <s v="Moderate"/>
    <n v="2862"/>
    <n v="36"/>
    <s v="Car"/>
    <x v="0"/>
    <x v="2"/>
    <x v="1"/>
  </r>
  <r>
    <n v="35"/>
    <s v="Male"/>
    <n v="2"/>
    <s v="Own"/>
    <s v="Moderate"/>
    <s v="Unknown"/>
    <n v="2753"/>
    <n v="9"/>
    <s v="Radio/TV"/>
    <x v="0"/>
    <x v="2"/>
    <x v="0"/>
  </r>
  <r>
    <n v="31"/>
    <s v="Male"/>
    <n v="2"/>
    <s v="Own"/>
    <s v="rich"/>
    <s v="Little"/>
    <n v="3651"/>
    <n v="12"/>
    <s v="Car"/>
    <x v="0"/>
    <x v="2"/>
    <x v="2"/>
  </r>
  <r>
    <n v="25"/>
    <s v="Male"/>
    <n v="2"/>
    <s v="Own"/>
    <s v="Little"/>
    <s v="Little"/>
    <n v="975"/>
    <n v="15"/>
    <s v="Furniture/Equipment"/>
    <x v="0"/>
    <x v="1"/>
    <x v="2"/>
  </r>
  <r>
    <n v="25"/>
    <s v="Female"/>
    <n v="1"/>
    <s v="Own"/>
    <s v="Moderate"/>
    <s v="Moderate"/>
    <n v="2631"/>
    <n v="15"/>
    <s v="Repairs"/>
    <x v="0"/>
    <x v="1"/>
    <x v="2"/>
  </r>
  <r>
    <n v="29"/>
    <s v="Male"/>
    <n v="2"/>
    <s v="Own"/>
    <s v="Moderate"/>
    <s v="Moderate"/>
    <n v="2896"/>
    <n v="24"/>
    <s v="Radio/TV"/>
    <x v="0"/>
    <x v="1"/>
    <x v="2"/>
  </r>
  <r>
    <n v="44"/>
    <s v="Male"/>
    <n v="1"/>
    <s v="Own"/>
    <s v="Unknown"/>
    <s v="Little"/>
    <n v="4716"/>
    <n v="6"/>
    <s v="Car"/>
    <x v="0"/>
    <x v="2"/>
    <x v="0"/>
  </r>
  <r>
    <n v="28"/>
    <s v="Male"/>
    <n v="2"/>
    <s v="Own"/>
    <s v="Little"/>
    <s v="Unknown"/>
    <n v="2284"/>
    <n v="24"/>
    <s v="Radio/TV"/>
    <x v="0"/>
    <x v="1"/>
    <x v="2"/>
  </r>
  <r>
    <n v="50"/>
    <s v="Male"/>
    <n v="2"/>
    <s v="Rent"/>
    <s v="Quite rich"/>
    <s v="Unknown"/>
    <n v="1236"/>
    <n v="6"/>
    <s v="Car"/>
    <x v="0"/>
    <x v="2"/>
    <x v="0"/>
  </r>
  <r>
    <n v="29"/>
    <s v="Male"/>
    <n v="2"/>
    <s v="Own"/>
    <s v="Little"/>
    <s v="Moderate"/>
    <n v="1103"/>
    <n v="12"/>
    <s v="Radio/TV"/>
    <x v="0"/>
    <x v="1"/>
    <x v="2"/>
  </r>
  <r>
    <n v="38"/>
    <s v="Female"/>
    <n v="0"/>
    <s v="Own"/>
    <s v="Little"/>
    <s v="Unknown"/>
    <n v="926"/>
    <n v="12"/>
    <s v="Car"/>
    <x v="0"/>
    <x v="2"/>
    <x v="2"/>
  </r>
  <r>
    <n v="24"/>
    <s v="Male"/>
    <n v="2"/>
    <s v="Own"/>
    <s v="Little"/>
    <s v="Unknown"/>
    <n v="1800"/>
    <n v="18"/>
    <s v="Radio/TV"/>
    <x v="0"/>
    <x v="1"/>
    <x v="2"/>
  </r>
  <r>
    <n v="40"/>
    <s v="Male"/>
    <n v="3"/>
    <s v="Rent"/>
    <s v="Little"/>
    <s v="rich"/>
    <n v="1905"/>
    <n v="15"/>
    <s v="Education"/>
    <x v="0"/>
    <x v="2"/>
    <x v="2"/>
  </r>
  <r>
    <n v="29"/>
    <s v="Female"/>
    <n v="1"/>
    <s v="Rent"/>
    <s v="Quite rich"/>
    <s v="Unknown"/>
    <n v="1123"/>
    <n v="12"/>
    <s v="Furniture/Equipment"/>
    <x v="0"/>
    <x v="1"/>
    <x v="2"/>
  </r>
  <r>
    <n v="46"/>
    <s v="Male"/>
    <n v="2"/>
    <s v="Free"/>
    <s v="Little"/>
    <s v="Little"/>
    <n v="6331"/>
    <n v="48"/>
    <s v="Car"/>
    <x v="1"/>
    <x v="2"/>
    <x v="1"/>
  </r>
  <r>
    <n v="47"/>
    <s v="Female"/>
    <n v="2"/>
    <s v="Free"/>
    <s v="Moderate"/>
    <s v="rich"/>
    <n v="1377"/>
    <n v="24"/>
    <s v="Radio/TV"/>
    <x v="0"/>
    <x v="2"/>
    <x v="2"/>
  </r>
  <r>
    <n v="41"/>
    <s v="Male"/>
    <n v="2"/>
    <s v="Own"/>
    <s v="Moderate"/>
    <s v="Moderate"/>
    <n v="2503"/>
    <n v="30"/>
    <s v="Business"/>
    <x v="0"/>
    <x v="2"/>
    <x v="2"/>
  </r>
  <r>
    <n v="32"/>
    <s v="Female"/>
    <n v="2"/>
    <s v="Own"/>
    <s v="Little"/>
    <s v="Moderate"/>
    <n v="2528"/>
    <n v="27"/>
    <s v="Business"/>
    <x v="0"/>
    <x v="2"/>
    <x v="2"/>
  </r>
  <r>
    <n v="35"/>
    <s v="Female"/>
    <n v="2"/>
    <s v="Free"/>
    <s v="Quite rich"/>
    <s v="Unknown"/>
    <n v="5324"/>
    <n v="15"/>
    <s v="Car"/>
    <x v="0"/>
    <x v="2"/>
    <x v="2"/>
  </r>
  <r>
    <n v="24"/>
    <s v="Male"/>
    <n v="2"/>
    <s v="Own"/>
    <s v="Moderate"/>
    <s v="Moderate"/>
    <n v="6560"/>
    <n v="48"/>
    <s v="Car"/>
    <x v="1"/>
    <x v="1"/>
    <x v="1"/>
  </r>
  <r>
    <n v="25"/>
    <s v="Female"/>
    <n v="2"/>
    <s v="Rent"/>
    <s v="Little"/>
    <s v="Moderate"/>
    <n v="2969"/>
    <n v="12"/>
    <s v="Furniture/Equipment"/>
    <x v="0"/>
    <x v="1"/>
    <x v="2"/>
  </r>
  <r>
    <n v="25"/>
    <s v="Female"/>
    <n v="2"/>
    <s v="Own"/>
    <s v="Little"/>
    <s v="Moderate"/>
    <n v="1206"/>
    <n v="9"/>
    <s v="Radio/TV"/>
    <x v="0"/>
    <x v="1"/>
    <x v="0"/>
  </r>
  <r>
    <n v="37"/>
    <s v="Male"/>
    <n v="1"/>
    <s v="Own"/>
    <s v="Little"/>
    <s v="Moderate"/>
    <n v="2118"/>
    <n v="9"/>
    <s v="Radio/TV"/>
    <x v="0"/>
    <x v="2"/>
    <x v="0"/>
  </r>
  <r>
    <n v="32"/>
    <s v="Male"/>
    <n v="3"/>
    <s v="Own"/>
    <s v="Quite rich"/>
    <s v="Unknown"/>
    <n v="629"/>
    <n v="18"/>
    <s v="Radio/TV"/>
    <x v="0"/>
    <x v="2"/>
    <x v="2"/>
  </r>
  <r>
    <n v="35"/>
    <s v="Female"/>
    <n v="2"/>
    <s v="Free"/>
    <s v="Little"/>
    <s v="Little"/>
    <n v="1198"/>
    <n v="6"/>
    <s v="Education"/>
    <x v="0"/>
    <x v="2"/>
    <x v="0"/>
  </r>
  <r>
    <n v="46"/>
    <s v="Male"/>
    <n v="3"/>
    <s v="Own"/>
    <s v="Unknown"/>
    <s v="Unknown"/>
    <n v="2476"/>
    <n v="21"/>
    <s v="Car"/>
    <x v="0"/>
    <x v="2"/>
    <x v="2"/>
  </r>
  <r>
    <n v="25"/>
    <s v="Male"/>
    <n v="1"/>
    <s v="Own"/>
    <s v="Little"/>
    <s v="Little"/>
    <n v="1138"/>
    <n v="9"/>
    <s v="Radio/TV"/>
    <x v="0"/>
    <x v="1"/>
    <x v="0"/>
  </r>
  <r>
    <n v="27"/>
    <s v="Male"/>
    <n v="3"/>
    <s v="Own"/>
    <s v="Little"/>
    <s v="Moderate"/>
    <n v="14027"/>
    <n v="60"/>
    <s v="Car"/>
    <x v="1"/>
    <x v="1"/>
    <x v="1"/>
  </r>
  <r>
    <n v="63"/>
    <s v="Male"/>
    <n v="2"/>
    <s v="Own"/>
    <s v="Unknown"/>
    <s v="Unknown"/>
    <n v="7596"/>
    <n v="30"/>
    <s v="Car"/>
    <x v="1"/>
    <x v="0"/>
    <x v="2"/>
  </r>
  <r>
    <n v="40"/>
    <s v="Male"/>
    <n v="2"/>
    <s v="Own"/>
    <s v="Unknown"/>
    <s v="Unknown"/>
    <n v="3077"/>
    <n v="30"/>
    <s v="Radio/TV"/>
    <x v="0"/>
    <x v="2"/>
    <x v="2"/>
  </r>
  <r>
    <n v="32"/>
    <s v="Male"/>
    <n v="3"/>
    <s v="Free"/>
    <s v="Little"/>
    <s v="Unknown"/>
    <n v="1505"/>
    <n v="18"/>
    <s v="Radio/TV"/>
    <x v="0"/>
    <x v="2"/>
    <x v="2"/>
  </r>
  <r>
    <n v="31"/>
    <s v="Male"/>
    <n v="2"/>
    <s v="Own"/>
    <s v="Unknown"/>
    <s v="rich"/>
    <n v="3148"/>
    <n v="24"/>
    <s v="Radio/TV"/>
    <x v="0"/>
    <x v="2"/>
    <x v="2"/>
  </r>
  <r>
    <n v="31"/>
    <s v="Male"/>
    <n v="2"/>
    <s v="Own"/>
    <s v="Moderate"/>
    <s v="Moderate"/>
    <n v="6148"/>
    <n v="20"/>
    <s v="Car"/>
    <x v="0"/>
    <x v="2"/>
    <x v="2"/>
  </r>
  <r>
    <n v="34"/>
    <s v="Male"/>
    <n v="3"/>
    <s v="Own"/>
    <s v="Little"/>
    <s v="rich"/>
    <n v="1337"/>
    <n v="9"/>
    <s v="Radio/TV"/>
    <x v="0"/>
    <x v="2"/>
    <x v="0"/>
  </r>
  <r>
    <n v="24"/>
    <s v="Female"/>
    <n v="2"/>
    <s v="Rent"/>
    <s v="rich"/>
    <s v="Moderate"/>
    <n v="433"/>
    <n v="6"/>
    <s v="Education"/>
    <x v="0"/>
    <x v="1"/>
    <x v="0"/>
  </r>
  <r>
    <n v="24"/>
    <s v="Female"/>
    <n v="1"/>
    <s v="Own"/>
    <s v="Little"/>
    <s v="Little"/>
    <n v="1228"/>
    <n v="12"/>
    <s v="Car"/>
    <x v="0"/>
    <x v="1"/>
    <x v="2"/>
  </r>
  <r>
    <n v="66"/>
    <s v="Female"/>
    <n v="1"/>
    <s v="Own"/>
    <s v="Quite rich"/>
    <s v="Moderate"/>
    <n v="790"/>
    <n v="9"/>
    <s v="Radio/TV"/>
    <x v="0"/>
    <x v="0"/>
    <x v="0"/>
  </r>
  <r>
    <n v="21"/>
    <s v="Female"/>
    <n v="2"/>
    <s v="Rent"/>
    <s v="Little"/>
    <s v="Unknown"/>
    <n v="2570"/>
    <n v="27"/>
    <s v="Car"/>
    <x v="0"/>
    <x v="1"/>
    <x v="2"/>
  </r>
  <r>
    <n v="41"/>
    <s v="Female"/>
    <n v="1"/>
    <s v="Own"/>
    <s v="rich"/>
    <s v="Unknown"/>
    <n v="250"/>
    <n v="6"/>
    <s v="Car"/>
    <x v="0"/>
    <x v="2"/>
    <x v="0"/>
  </r>
  <r>
    <n v="47"/>
    <s v="Male"/>
    <n v="1"/>
    <s v="Own"/>
    <s v="Quite rich"/>
    <s v="Unknown"/>
    <n v="1316"/>
    <n v="15"/>
    <s v="Radio/TV"/>
    <x v="0"/>
    <x v="2"/>
    <x v="2"/>
  </r>
  <r>
    <n v="25"/>
    <s v="Female"/>
    <n v="2"/>
    <s v="Rent"/>
    <s v="Little"/>
    <s v="Little"/>
    <n v="1882"/>
    <n v="18"/>
    <s v="Radio/TV"/>
    <x v="0"/>
    <x v="1"/>
    <x v="2"/>
  </r>
  <r>
    <n v="59"/>
    <s v="Female"/>
    <n v="2"/>
    <s v="Rent"/>
    <s v="Little"/>
    <s v="Moderate"/>
    <n v="6416"/>
    <n v="48"/>
    <s v="Business"/>
    <x v="1"/>
    <x v="0"/>
    <x v="1"/>
  </r>
  <r>
    <n v="36"/>
    <s v="Male"/>
    <n v="2"/>
    <s v="Own"/>
    <s v="rich"/>
    <s v="rich"/>
    <n v="1275"/>
    <n v="24"/>
    <s v="Business"/>
    <x v="0"/>
    <x v="2"/>
    <x v="2"/>
  </r>
  <r>
    <n v="33"/>
    <s v="Male"/>
    <n v="2"/>
    <s v="Own"/>
    <s v="Little"/>
    <s v="Moderate"/>
    <n v="6403"/>
    <n v="24"/>
    <s v="Radio/TV"/>
    <x v="0"/>
    <x v="2"/>
    <x v="2"/>
  </r>
  <r>
    <n v="21"/>
    <s v="Male"/>
    <n v="1"/>
    <s v="Rent"/>
    <s v="Little"/>
    <s v="Little"/>
    <n v="1987"/>
    <n v="24"/>
    <s v="Radio/TV"/>
    <x v="0"/>
    <x v="1"/>
    <x v="2"/>
  </r>
  <r>
    <n v="44"/>
    <s v="Female"/>
    <n v="1"/>
    <s v="Own"/>
    <s v="Little"/>
    <s v="Moderate"/>
    <n v="760"/>
    <n v="8"/>
    <s v="Radio/TV"/>
    <x v="0"/>
    <x v="2"/>
    <x v="0"/>
  </r>
  <r>
    <n v="28"/>
    <s v="Female"/>
    <n v="2"/>
    <s v="Rent"/>
    <s v="rich"/>
    <s v="Unknown"/>
    <n v="2603"/>
    <n v="24"/>
    <s v="Car"/>
    <x v="0"/>
    <x v="1"/>
    <x v="2"/>
  </r>
  <r>
    <n v="37"/>
    <s v="Female"/>
    <n v="2"/>
    <s v="Own"/>
    <s v="Little"/>
    <s v="Unknown"/>
    <n v="3380"/>
    <n v="4"/>
    <s v="Car"/>
    <x v="0"/>
    <x v="2"/>
    <x v="0"/>
  </r>
  <r>
    <n v="29"/>
    <s v="Female"/>
    <n v="0"/>
    <s v="Own"/>
    <s v="Unknown"/>
    <s v="Moderate"/>
    <n v="3990"/>
    <n v="36"/>
    <s v="Domestic appliances"/>
    <x v="0"/>
    <x v="1"/>
    <x v="1"/>
  </r>
  <r>
    <n v="23"/>
    <s v="Female"/>
    <n v="3"/>
    <s v="Rent"/>
    <s v="Little"/>
    <s v="Moderate"/>
    <n v="11560"/>
    <n v="24"/>
    <s v="Car"/>
    <x v="1"/>
    <x v="1"/>
    <x v="2"/>
  </r>
  <r>
    <n v="35"/>
    <s v="Male"/>
    <n v="1"/>
    <s v="Own"/>
    <s v="Moderate"/>
    <s v="Little"/>
    <n v="4380"/>
    <n v="18"/>
    <s v="Car"/>
    <x v="0"/>
    <x v="2"/>
    <x v="2"/>
  </r>
  <r>
    <n v="45"/>
    <s v="Male"/>
    <n v="3"/>
    <s v="Own"/>
    <s v="Little"/>
    <s v="Unknown"/>
    <n v="6761"/>
    <n v="6"/>
    <s v="Car"/>
    <x v="0"/>
    <x v="2"/>
    <x v="0"/>
  </r>
  <r>
    <n v="26"/>
    <s v="Female"/>
    <n v="1"/>
    <s v="Rent"/>
    <s v="Moderate"/>
    <s v="Moderate"/>
    <n v="4280"/>
    <n v="30"/>
    <s v="Business"/>
    <x v="2"/>
    <x v="1"/>
    <x v="2"/>
  </r>
  <r>
    <n v="32"/>
    <s v="Male"/>
    <n v="2"/>
    <s v="Own"/>
    <s v="Moderate"/>
    <s v="Little"/>
    <n v="2325"/>
    <n v="24"/>
    <s v="Car"/>
    <x v="0"/>
    <x v="2"/>
    <x v="2"/>
  </r>
  <r>
    <n v="23"/>
    <s v="Male"/>
    <n v="1"/>
    <s v="Own"/>
    <s v="Little"/>
    <s v="Moderate"/>
    <n v="1048"/>
    <n v="10"/>
    <s v="Radio/TV"/>
    <x v="0"/>
    <x v="1"/>
    <x v="0"/>
  </r>
  <r>
    <n v="41"/>
    <s v="Male"/>
    <n v="2"/>
    <s v="Own"/>
    <s v="Unknown"/>
    <s v="Unknown"/>
    <n v="3160"/>
    <n v="21"/>
    <s v="Radio/TV"/>
    <x v="0"/>
    <x v="2"/>
    <x v="2"/>
  </r>
  <r>
    <n v="22"/>
    <s v="Male"/>
    <n v="2"/>
    <s v="Own"/>
    <s v="Quite rich"/>
    <s v="Little"/>
    <n v="2483"/>
    <n v="24"/>
    <s v="Furniture/Equipment"/>
    <x v="0"/>
    <x v="1"/>
    <x v="2"/>
  </r>
  <r>
    <n v="30"/>
    <s v="Male"/>
    <n v="3"/>
    <s v="Own"/>
    <s v="Unknown"/>
    <s v="Little"/>
    <n v="14179"/>
    <n v="39"/>
    <s v="Furniture/Equipment"/>
    <x v="1"/>
    <x v="2"/>
    <x v="1"/>
  </r>
  <r>
    <n v="28"/>
    <s v="Male"/>
    <n v="1"/>
    <s v="Own"/>
    <s v="Little"/>
    <s v="Little"/>
    <n v="1797"/>
    <n v="13"/>
    <s v="Business"/>
    <x v="0"/>
    <x v="1"/>
    <x v="2"/>
  </r>
  <r>
    <n v="23"/>
    <s v="Female"/>
    <n v="2"/>
    <s v="Rent"/>
    <s v="Little"/>
    <s v="Little"/>
    <n v="2511"/>
    <n v="15"/>
    <s v="Car"/>
    <x v="0"/>
    <x v="1"/>
    <x v="2"/>
  </r>
  <r>
    <n v="37"/>
    <s v="Female"/>
    <n v="1"/>
    <s v="Own"/>
    <s v="Little"/>
    <s v="Little"/>
    <n v="1274"/>
    <n v="12"/>
    <s v="Car"/>
    <x v="0"/>
    <x v="2"/>
    <x v="2"/>
  </r>
  <r>
    <n v="26"/>
    <s v="Male"/>
    <n v="2"/>
    <s v="Own"/>
    <s v="Unknown"/>
    <s v="Unknown"/>
    <n v="5248"/>
    <n v="21"/>
    <s v="Car"/>
    <x v="0"/>
    <x v="1"/>
    <x v="2"/>
  </r>
  <r>
    <n v="33"/>
    <s v="Male"/>
    <n v="2"/>
    <s v="Own"/>
    <s v="Little"/>
    <s v="Unknown"/>
    <n v="3029"/>
    <n v="15"/>
    <s v="Car"/>
    <x v="0"/>
    <x v="2"/>
    <x v="2"/>
  </r>
  <r>
    <n v="49"/>
    <s v="Female"/>
    <n v="2"/>
    <s v="Own"/>
    <s v="Little"/>
    <s v="Little"/>
    <n v="428"/>
    <n v="6"/>
    <s v="Furniture/Equipment"/>
    <x v="0"/>
    <x v="2"/>
    <x v="0"/>
  </r>
  <r>
    <n v="23"/>
    <s v="Female"/>
    <n v="1"/>
    <s v="Own"/>
    <s v="Little"/>
    <s v="Little"/>
    <n v="976"/>
    <n v="18"/>
    <s v="Car"/>
    <x v="0"/>
    <x v="1"/>
    <x v="2"/>
  </r>
  <r>
    <n v="23"/>
    <s v="Female"/>
    <n v="1"/>
    <s v="Rent"/>
    <s v="Moderate"/>
    <s v="Moderate"/>
    <n v="841"/>
    <n v="12"/>
    <s v="Business"/>
    <x v="0"/>
    <x v="1"/>
    <x v="2"/>
  </r>
  <r>
    <n v="25"/>
    <s v="Female"/>
    <n v="2"/>
    <s v="Own"/>
    <s v="Little"/>
    <s v="Unknown"/>
    <n v="5771"/>
    <n v="30"/>
    <s v="Radio/TV"/>
    <x v="2"/>
    <x v="1"/>
    <x v="2"/>
  </r>
  <r>
    <n v="55"/>
    <s v="Male"/>
    <n v="2"/>
    <s v="Free"/>
    <s v="rich"/>
    <s v="Unknown"/>
    <n v="1555"/>
    <n v="12"/>
    <s v="Repairs"/>
    <x v="0"/>
    <x v="0"/>
    <x v="2"/>
  </r>
  <r>
    <n v="32"/>
    <s v="Female"/>
    <n v="2"/>
    <s v="Rent"/>
    <s v="Unknown"/>
    <s v="Little"/>
    <n v="1285"/>
    <n v="24"/>
    <s v="Car"/>
    <x v="0"/>
    <x v="2"/>
    <x v="2"/>
  </r>
  <r>
    <n v="74"/>
    <s v="Male"/>
    <n v="0"/>
    <s v="Own"/>
    <s v="Little"/>
    <s v="rich"/>
    <n v="1299"/>
    <n v="6"/>
    <s v="Car"/>
    <x v="0"/>
    <x v="0"/>
    <x v="0"/>
  </r>
  <r>
    <n v="39"/>
    <s v="Male"/>
    <n v="2"/>
    <s v="Free"/>
    <s v="Unknown"/>
    <s v="rich"/>
    <n v="1271"/>
    <n v="15"/>
    <s v="Radio/TV"/>
    <x v="0"/>
    <x v="2"/>
    <x v="2"/>
  </r>
  <r>
    <n v="31"/>
    <s v="Male"/>
    <n v="2"/>
    <s v="Own"/>
    <s v="Little"/>
    <s v="Unknown"/>
    <n v="1393"/>
    <n v="24"/>
    <s v="Car"/>
    <x v="0"/>
    <x v="2"/>
    <x v="2"/>
  </r>
  <r>
    <n v="35"/>
    <s v="Male"/>
    <n v="2"/>
    <s v="Own"/>
    <s v="Little"/>
    <s v="Little"/>
    <n v="691"/>
    <n v="12"/>
    <s v="Car"/>
    <x v="0"/>
    <x v="2"/>
    <x v="2"/>
  </r>
  <r>
    <n v="59"/>
    <s v="Female"/>
    <n v="2"/>
    <s v="Own"/>
    <s v="Unknown"/>
    <s v="Unknown"/>
    <n v="5045"/>
    <n v="15"/>
    <s v="Car"/>
    <x v="0"/>
    <x v="0"/>
    <x v="2"/>
  </r>
  <r>
    <n v="24"/>
    <s v="Female"/>
    <n v="2"/>
    <s v="Rent"/>
    <s v="Little"/>
    <s v="Little"/>
    <n v="2124"/>
    <n v="18"/>
    <s v="Furniture/Equipment"/>
    <x v="0"/>
    <x v="1"/>
    <x v="2"/>
  </r>
  <r>
    <n v="24"/>
    <s v="Male"/>
    <n v="1"/>
    <s v="Own"/>
    <s v="Little"/>
    <s v="Little"/>
    <n v="2214"/>
    <n v="12"/>
    <s v="Radio/TV"/>
    <x v="0"/>
    <x v="1"/>
    <x v="2"/>
  </r>
  <r>
    <n v="30"/>
    <s v="Male"/>
    <n v="3"/>
    <s v="Free"/>
    <s v="Unknown"/>
    <s v="Unknown"/>
    <n v="12680"/>
    <n v="21"/>
    <s v="Car"/>
    <x v="1"/>
    <x v="2"/>
    <x v="2"/>
  </r>
  <r>
    <n v="27"/>
    <s v="Male"/>
    <n v="2"/>
    <s v="Own"/>
    <s v="Moderate"/>
    <s v="Unknown"/>
    <n v="2463"/>
    <n v="24"/>
    <s v="Car"/>
    <x v="0"/>
    <x v="1"/>
    <x v="2"/>
  </r>
  <r>
    <n v="40"/>
    <s v="Male"/>
    <n v="1"/>
    <s v="Own"/>
    <s v="Little"/>
    <s v="Moderate"/>
    <n v="1155"/>
    <n v="12"/>
    <s v="Radio/TV"/>
    <x v="0"/>
    <x v="2"/>
    <x v="2"/>
  </r>
  <r>
    <n v="31"/>
    <s v="Male"/>
    <n v="1"/>
    <s v="Own"/>
    <s v="Little"/>
    <s v="Little"/>
    <n v="3108"/>
    <n v="30"/>
    <s v="Furniture/Equipment"/>
    <x v="0"/>
    <x v="2"/>
    <x v="2"/>
  </r>
  <r>
    <n v="31"/>
    <s v="Female"/>
    <n v="2"/>
    <s v="Rent"/>
    <s v="Unknown"/>
    <s v="Unknown"/>
    <n v="2901"/>
    <n v="10"/>
    <s v="Car"/>
    <x v="0"/>
    <x v="2"/>
    <x v="0"/>
  </r>
  <r>
    <n v="28"/>
    <s v="Male"/>
    <n v="2"/>
    <s v="Rent"/>
    <s v="Little"/>
    <s v="Moderate"/>
    <n v="3617"/>
    <n v="12"/>
    <s v="Furniture/Equipment"/>
    <x v="0"/>
    <x v="1"/>
    <x v="2"/>
  </r>
  <r>
    <n v="63"/>
    <s v="Male"/>
    <n v="1"/>
    <s v="Own"/>
    <s v="Little"/>
    <s v="Unknown"/>
    <n v="1655"/>
    <n v="12"/>
    <s v="Radio/TV"/>
    <x v="0"/>
    <x v="0"/>
    <x v="2"/>
  </r>
  <r>
    <n v="26"/>
    <s v="Female"/>
    <n v="2"/>
    <s v="Rent"/>
    <s v="Unknown"/>
    <s v="Little"/>
    <n v="2812"/>
    <n v="24"/>
    <s v="Car"/>
    <x v="0"/>
    <x v="1"/>
    <x v="2"/>
  </r>
  <r>
    <n v="25"/>
    <s v="Female"/>
    <n v="3"/>
    <s v="Own"/>
    <s v="Little"/>
    <s v="Little"/>
    <n v="8065"/>
    <n v="36"/>
    <s v="Education"/>
    <x v="1"/>
    <x v="1"/>
    <x v="1"/>
  </r>
  <r>
    <n v="36"/>
    <s v="Male"/>
    <n v="3"/>
    <s v="Own"/>
    <s v="Little"/>
    <s v="Unknown"/>
    <n v="3275"/>
    <n v="21"/>
    <s v="Car"/>
    <x v="0"/>
    <x v="2"/>
    <x v="2"/>
  </r>
  <r>
    <n v="52"/>
    <s v="Male"/>
    <n v="2"/>
    <s v="Own"/>
    <s v="Moderate"/>
    <s v="Unknown"/>
    <n v="2223"/>
    <n v="24"/>
    <s v="Radio/TV"/>
    <x v="0"/>
    <x v="0"/>
    <x v="2"/>
  </r>
  <r>
    <n v="66"/>
    <s v="Male"/>
    <n v="0"/>
    <s v="Free"/>
    <s v="Quite rich"/>
    <s v="rich"/>
    <n v="1480"/>
    <n v="12"/>
    <s v="Car"/>
    <x v="0"/>
    <x v="0"/>
    <x v="2"/>
  </r>
  <r>
    <n v="25"/>
    <s v="Female"/>
    <n v="2"/>
    <s v="Rent"/>
    <s v="Unknown"/>
    <s v="Little"/>
    <n v="1371"/>
    <n v="24"/>
    <s v="Car"/>
    <x v="0"/>
    <x v="1"/>
    <x v="2"/>
  </r>
  <r>
    <n v="37"/>
    <s v="Male"/>
    <n v="2"/>
    <s v="Own"/>
    <s v="Little"/>
    <s v="Unknown"/>
    <n v="3535"/>
    <n v="36"/>
    <s v="Car"/>
    <x v="0"/>
    <x v="2"/>
    <x v="1"/>
  </r>
  <r>
    <n v="25"/>
    <s v="Female"/>
    <n v="2"/>
    <s v="Own"/>
    <s v="Little"/>
    <s v="Little"/>
    <n v="3509"/>
    <n v="18"/>
    <s v="Radio/TV"/>
    <x v="0"/>
    <x v="1"/>
    <x v="2"/>
  </r>
  <r>
    <n v="38"/>
    <s v="Male"/>
    <n v="3"/>
    <s v="Own"/>
    <s v="rich"/>
    <s v="Unknown"/>
    <n v="5711"/>
    <n v="36"/>
    <s v="Car"/>
    <x v="2"/>
    <x v="2"/>
    <x v="1"/>
  </r>
  <r>
    <n v="67"/>
    <s v="Female"/>
    <n v="2"/>
    <s v="Own"/>
    <s v="Little"/>
    <s v="Moderate"/>
    <n v="3872"/>
    <n v="18"/>
    <s v="Repairs"/>
    <x v="0"/>
    <x v="0"/>
    <x v="2"/>
  </r>
  <r>
    <n v="25"/>
    <s v="Male"/>
    <n v="2"/>
    <s v="Own"/>
    <s v="Little"/>
    <s v="Moderate"/>
    <n v="4933"/>
    <n v="39"/>
    <s v="Radio/TV"/>
    <x v="1"/>
    <x v="1"/>
    <x v="1"/>
  </r>
  <r>
    <n v="60"/>
    <s v="Male"/>
    <n v="2"/>
    <s v="Own"/>
    <s v="rich"/>
    <s v="Unknown"/>
    <n v="1940"/>
    <n v="24"/>
    <s v="Car"/>
    <x v="0"/>
    <x v="0"/>
    <x v="2"/>
  </r>
  <r>
    <n v="31"/>
    <s v="Male"/>
    <n v="1"/>
    <s v="Own"/>
    <s v="Little"/>
    <s v="Moderate"/>
    <n v="1410"/>
    <n v="12"/>
    <s v="Education"/>
    <x v="0"/>
    <x v="2"/>
    <x v="2"/>
  </r>
  <r>
    <n v="23"/>
    <s v="Female"/>
    <n v="1"/>
    <s v="Own"/>
    <s v="Moderate"/>
    <s v="Moderate"/>
    <n v="836"/>
    <n v="12"/>
    <s v="Car"/>
    <x v="0"/>
    <x v="1"/>
    <x v="2"/>
  </r>
  <r>
    <n v="60"/>
    <s v="Male"/>
    <n v="3"/>
    <s v="Own"/>
    <s v="Unknown"/>
    <s v="Moderate"/>
    <n v="6468"/>
    <n v="20"/>
    <s v="Car"/>
    <x v="0"/>
    <x v="0"/>
    <x v="2"/>
  </r>
  <r>
    <n v="35"/>
    <s v="Male"/>
    <n v="1"/>
    <s v="Own"/>
    <s v="rich"/>
    <s v="Moderate"/>
    <n v="1941"/>
    <n v="18"/>
    <s v="Business"/>
    <x v="0"/>
    <x v="2"/>
    <x v="2"/>
  </r>
  <r>
    <n v="40"/>
    <s v="Male"/>
    <n v="2"/>
    <s v="Own"/>
    <s v="Quite rich"/>
    <s v="Unknown"/>
    <n v="2675"/>
    <n v="22"/>
    <s v="Radio/TV"/>
    <x v="0"/>
    <x v="2"/>
    <x v="2"/>
  </r>
  <r>
    <n v="38"/>
    <s v="Male"/>
    <n v="2"/>
    <s v="Own"/>
    <s v="Unknown"/>
    <s v="Unknown"/>
    <n v="2751"/>
    <n v="48"/>
    <s v="Car"/>
    <x v="1"/>
    <x v="2"/>
    <x v="1"/>
  </r>
  <r>
    <n v="50"/>
    <s v="Male"/>
    <n v="2"/>
    <s v="Free"/>
    <s v="Little"/>
    <s v="Moderate"/>
    <n v="6224"/>
    <n v="48"/>
    <s v="Education"/>
    <x v="1"/>
    <x v="2"/>
    <x v="1"/>
  </r>
  <r>
    <n v="27"/>
    <s v="Male"/>
    <n v="2"/>
    <s v="Own"/>
    <s v="Little"/>
    <s v="Little"/>
    <n v="5998"/>
    <n v="40"/>
    <s v="Education"/>
    <x v="1"/>
    <x v="1"/>
    <x v="1"/>
  </r>
  <r>
    <n v="39"/>
    <s v="Female"/>
    <n v="2"/>
    <s v="Own"/>
    <s v="Little"/>
    <s v="Moderate"/>
    <n v="1188"/>
    <n v="21"/>
    <s v="Business"/>
    <x v="0"/>
    <x v="2"/>
    <x v="2"/>
  </r>
  <r>
    <n v="41"/>
    <s v="Male"/>
    <n v="3"/>
    <s v="Own"/>
    <s v="Unknown"/>
    <s v="Unknown"/>
    <n v="6313"/>
    <n v="24"/>
    <s v="Car"/>
    <x v="0"/>
    <x v="2"/>
    <x v="2"/>
  </r>
  <r>
    <n v="27"/>
    <s v="Male"/>
    <n v="2"/>
    <s v="Own"/>
    <s v="Unknown"/>
    <s v="Unknown"/>
    <n v="1221"/>
    <n v="6"/>
    <s v="Furniture/Equipment"/>
    <x v="0"/>
    <x v="1"/>
    <x v="0"/>
  </r>
  <r>
    <n v="51"/>
    <s v="Male"/>
    <n v="2"/>
    <s v="Free"/>
    <s v="Little"/>
    <s v="rich"/>
    <n v="2892"/>
    <n v="24"/>
    <s v="Furniture/Equipment"/>
    <x v="0"/>
    <x v="0"/>
    <x v="2"/>
  </r>
  <r>
    <n v="32"/>
    <s v="Male"/>
    <n v="2"/>
    <s v="Rent"/>
    <s v="Quite rich"/>
    <s v="Unknown"/>
    <n v="3062"/>
    <n v="24"/>
    <s v="Furniture/Equipment"/>
    <x v="0"/>
    <x v="2"/>
    <x v="2"/>
  </r>
  <r>
    <n v="22"/>
    <s v="Female"/>
    <n v="2"/>
    <s v="Rent"/>
    <s v="Moderate"/>
    <s v="Unknown"/>
    <n v="2301"/>
    <n v="9"/>
    <s v="Furniture/Equipment"/>
    <x v="0"/>
    <x v="1"/>
    <x v="0"/>
  </r>
  <r>
    <n v="51"/>
    <s v="Male"/>
    <n v="2"/>
    <s v="Free"/>
    <s v="Unknown"/>
    <s v="Little"/>
    <n v="7511"/>
    <n v="18"/>
    <s v="Car"/>
    <x v="1"/>
    <x v="0"/>
    <x v="2"/>
  </r>
  <r>
    <n v="22"/>
    <s v="Female"/>
    <n v="1"/>
    <s v="Rent"/>
    <s v="Little"/>
    <s v="Unknown"/>
    <n v="1258"/>
    <n v="12"/>
    <s v="Furniture/Equipment"/>
    <x v="0"/>
    <x v="1"/>
    <x v="2"/>
  </r>
  <r>
    <n v="54"/>
    <s v="Male"/>
    <n v="2"/>
    <s v="Own"/>
    <s v="Unknown"/>
    <s v="Unknown"/>
    <n v="717"/>
    <n v="24"/>
    <s v="Car"/>
    <x v="0"/>
    <x v="0"/>
    <x v="2"/>
  </r>
  <r>
    <n v="35"/>
    <s v="Male"/>
    <n v="0"/>
    <s v="Own"/>
    <s v="Unknown"/>
    <s v="Moderate"/>
    <n v="1549"/>
    <n v="9"/>
    <s v="Car"/>
    <x v="0"/>
    <x v="2"/>
    <x v="0"/>
  </r>
  <r>
    <n v="54"/>
    <s v="Male"/>
    <n v="2"/>
    <s v="Free"/>
    <s v="Little"/>
    <s v="Unknown"/>
    <n v="1597"/>
    <n v="24"/>
    <s v="Education"/>
    <x v="0"/>
    <x v="0"/>
    <x v="2"/>
  </r>
  <r>
    <n v="48"/>
    <s v="Female"/>
    <n v="1"/>
    <s v="Rent"/>
    <s v="Little"/>
    <s v="Moderate"/>
    <n v="1795"/>
    <n v="18"/>
    <s v="Radio/TV"/>
    <x v="0"/>
    <x v="2"/>
    <x v="2"/>
  </r>
  <r>
    <n v="24"/>
    <s v="Female"/>
    <n v="2"/>
    <s v="Own"/>
    <s v="Little"/>
    <s v="Little"/>
    <n v="4272"/>
    <n v="20"/>
    <s v="Furniture/Equipment"/>
    <x v="0"/>
    <x v="1"/>
    <x v="2"/>
  </r>
  <r>
    <n v="35"/>
    <s v="Male"/>
    <n v="2"/>
    <s v="Own"/>
    <s v="Unknown"/>
    <s v="Unknown"/>
    <n v="976"/>
    <n v="12"/>
    <s v="Radio/TV"/>
    <x v="0"/>
    <x v="2"/>
    <x v="2"/>
  </r>
  <r>
    <n v="24"/>
    <s v="Female"/>
    <n v="0"/>
    <s v="Rent"/>
    <s v="Unknown"/>
    <s v="Moderate"/>
    <n v="7472"/>
    <n v="12"/>
    <s v="Car"/>
    <x v="1"/>
    <x v="1"/>
    <x v="2"/>
  </r>
  <r>
    <n v="24"/>
    <s v="Male"/>
    <n v="2"/>
    <s v="Own"/>
    <s v="Little"/>
    <s v="Little"/>
    <n v="9271"/>
    <n v="36"/>
    <s v="Car"/>
    <x v="1"/>
    <x v="1"/>
    <x v="1"/>
  </r>
  <r>
    <n v="26"/>
    <s v="Male"/>
    <n v="1"/>
    <s v="Own"/>
    <s v="Little"/>
    <s v="Moderate"/>
    <n v="590"/>
    <n v="6"/>
    <s v="Radio/TV"/>
    <x v="0"/>
    <x v="1"/>
    <x v="0"/>
  </r>
  <r>
    <n v="65"/>
    <s v="Male"/>
    <n v="2"/>
    <s v="Own"/>
    <s v="Unknown"/>
    <s v="Unknown"/>
    <n v="930"/>
    <n v="12"/>
    <s v="Radio/TV"/>
    <x v="0"/>
    <x v="0"/>
    <x v="2"/>
  </r>
  <r>
    <n v="55"/>
    <s v="Male"/>
    <n v="3"/>
    <s v="Free"/>
    <s v="Little"/>
    <s v="Moderate"/>
    <n v="9283"/>
    <n v="42"/>
    <s v="Car"/>
    <x v="1"/>
    <x v="0"/>
    <x v="1"/>
  </r>
  <r>
    <n v="26"/>
    <s v="Female"/>
    <n v="0"/>
    <s v="Rent"/>
    <s v="Little"/>
    <s v="Moderate"/>
    <n v="1778"/>
    <n v="15"/>
    <s v="Car"/>
    <x v="0"/>
    <x v="1"/>
    <x v="2"/>
  </r>
  <r>
    <n v="26"/>
    <s v="Male"/>
    <n v="2"/>
    <s v="Own"/>
    <s v="Little"/>
    <s v="Moderate"/>
    <n v="907"/>
    <n v="8"/>
    <s v="Business"/>
    <x v="0"/>
    <x v="1"/>
    <x v="0"/>
  </r>
  <r>
    <n v="28"/>
    <s v="Male"/>
    <n v="1"/>
    <s v="Own"/>
    <s v="Little"/>
    <s v="Moderate"/>
    <n v="484"/>
    <n v="6"/>
    <s v="Radio/TV"/>
    <x v="0"/>
    <x v="1"/>
    <x v="0"/>
  </r>
  <r>
    <n v="24"/>
    <s v="Male"/>
    <n v="2"/>
    <s v="Own"/>
    <s v="Little"/>
    <s v="Little"/>
    <n v="9629"/>
    <n v="36"/>
    <s v="Car"/>
    <x v="1"/>
    <x v="1"/>
    <x v="1"/>
  </r>
  <r>
    <n v="54"/>
    <s v="Male"/>
    <n v="2"/>
    <s v="Own"/>
    <s v="Little"/>
    <s v="Little"/>
    <n v="3051"/>
    <n v="48"/>
    <s v="Domestic appliances"/>
    <x v="1"/>
    <x v="0"/>
    <x v="1"/>
  </r>
  <r>
    <n v="46"/>
    <s v="Male"/>
    <n v="2"/>
    <s v="Free"/>
    <s v="Little"/>
    <s v="Little"/>
    <n v="3931"/>
    <n v="48"/>
    <s v="Car"/>
    <x v="1"/>
    <x v="2"/>
    <x v="1"/>
  </r>
  <r>
    <n v="54"/>
    <s v="Female"/>
    <n v="2"/>
    <s v="Rent"/>
    <s v="Little"/>
    <s v="Moderate"/>
    <n v="7432"/>
    <n v="36"/>
    <s v="Car"/>
    <x v="1"/>
    <x v="0"/>
    <x v="1"/>
  </r>
  <r>
    <n v="62"/>
    <s v="Male"/>
    <n v="2"/>
    <s v="Own"/>
    <s v="Quite rich"/>
    <s v="Unknown"/>
    <n v="1338"/>
    <n v="6"/>
    <s v="Domestic appliances"/>
    <x v="0"/>
    <x v="0"/>
    <x v="0"/>
  </r>
  <r>
    <n v="24"/>
    <s v="Female"/>
    <n v="2"/>
    <s v="Rent"/>
    <s v="Little"/>
    <s v="Unknown"/>
    <n v="1554"/>
    <n v="6"/>
    <s v="Radio/TV"/>
    <x v="0"/>
    <x v="1"/>
    <x v="0"/>
  </r>
  <r>
    <n v="43"/>
    <s v="Male"/>
    <n v="3"/>
    <s v="Own"/>
    <s v="Little"/>
    <s v="Little"/>
    <n v="15857"/>
    <n v="36"/>
    <s v="Vacation/Others"/>
    <x v="1"/>
    <x v="2"/>
    <x v="1"/>
  </r>
  <r>
    <n v="26"/>
    <s v="Male"/>
    <n v="2"/>
    <s v="Own"/>
    <s v="Little"/>
    <s v="Little"/>
    <n v="1345"/>
    <n v="18"/>
    <s v="Radio/TV"/>
    <x v="0"/>
    <x v="1"/>
    <x v="2"/>
  </r>
  <r>
    <n v="27"/>
    <s v="Male"/>
    <n v="2"/>
    <s v="Own"/>
    <s v="Little"/>
    <s v="Unknown"/>
    <n v="1101"/>
    <n v="12"/>
    <s v="Car"/>
    <x v="0"/>
    <x v="1"/>
    <x v="2"/>
  </r>
  <r>
    <n v="24"/>
    <s v="Male"/>
    <n v="2"/>
    <s v="Own"/>
    <s v="Little"/>
    <s v="rich"/>
    <n v="3016"/>
    <n v="12"/>
    <s v="Radio/TV"/>
    <x v="0"/>
    <x v="1"/>
    <x v="2"/>
  </r>
  <r>
    <n v="41"/>
    <s v="Male"/>
    <n v="2"/>
    <s v="Own"/>
    <s v="Little"/>
    <s v="Little"/>
    <n v="2712"/>
    <n v="36"/>
    <s v="Furniture/Equipment"/>
    <x v="0"/>
    <x v="2"/>
    <x v="1"/>
  </r>
  <r>
    <n v="47"/>
    <s v="Male"/>
    <n v="1"/>
    <s v="Own"/>
    <s v="Little"/>
    <s v="Little"/>
    <n v="731"/>
    <n v="8"/>
    <s v="Car"/>
    <x v="0"/>
    <x v="2"/>
    <x v="0"/>
  </r>
  <r>
    <n v="35"/>
    <s v="Male"/>
    <n v="3"/>
    <s v="Own"/>
    <s v="Little"/>
    <s v="Unknown"/>
    <n v="3780"/>
    <n v="18"/>
    <s v="Furniture/Equipment"/>
    <x v="0"/>
    <x v="2"/>
    <x v="2"/>
  </r>
  <r>
    <n v="30"/>
    <s v="Male"/>
    <n v="2"/>
    <s v="Own"/>
    <s v="Little"/>
    <s v="Little"/>
    <n v="1602"/>
    <n v="21"/>
    <s v="Car"/>
    <x v="0"/>
    <x v="2"/>
    <x v="2"/>
  </r>
  <r>
    <n v="33"/>
    <s v="Female"/>
    <n v="2"/>
    <s v="Rent"/>
    <s v="Little"/>
    <s v="Little"/>
    <n v="3966"/>
    <n v="18"/>
    <s v="Car"/>
    <x v="0"/>
    <x v="2"/>
    <x v="2"/>
  </r>
  <r>
    <n v="36"/>
    <s v="Male"/>
    <n v="2"/>
    <s v="Own"/>
    <s v="Little"/>
    <s v="Unknown"/>
    <n v="4165"/>
    <n v="18"/>
    <s v="Business"/>
    <x v="0"/>
    <x v="2"/>
    <x v="2"/>
  </r>
  <r>
    <n v="47"/>
    <s v="Male"/>
    <n v="2"/>
    <s v="Free"/>
    <s v="Unknown"/>
    <s v="Little"/>
    <n v="8335"/>
    <n v="36"/>
    <s v="Car"/>
    <x v="1"/>
    <x v="2"/>
    <x v="1"/>
  </r>
  <r>
    <n v="38"/>
    <s v="Male"/>
    <n v="2"/>
    <s v="Free"/>
    <s v="Unknown"/>
    <s v="Moderate"/>
    <n v="6681"/>
    <n v="48"/>
    <s v="Business"/>
    <x v="1"/>
    <x v="2"/>
    <x v="1"/>
  </r>
  <r>
    <n v="44"/>
    <s v="Male"/>
    <n v="2"/>
    <s v="Own"/>
    <s v="Quite rich"/>
    <s v="Unknown"/>
    <n v="2375"/>
    <n v="24"/>
    <s v="Business"/>
    <x v="0"/>
    <x v="2"/>
    <x v="2"/>
  </r>
  <r>
    <n v="23"/>
    <s v="Female"/>
    <n v="2"/>
    <s v="Rent"/>
    <s v="Little"/>
    <s v="Little"/>
    <n v="1216"/>
    <n v="18"/>
    <s v="Car"/>
    <x v="0"/>
    <x v="1"/>
    <x v="2"/>
  </r>
  <r>
    <n v="29"/>
    <s v="Male"/>
    <n v="2"/>
    <s v="Rent"/>
    <s v="Little"/>
    <s v="Little"/>
    <n v="11816"/>
    <n v="45"/>
    <s v="Business"/>
    <x v="1"/>
    <x v="1"/>
    <x v="1"/>
  </r>
  <r>
    <n v="42"/>
    <s v="Female"/>
    <n v="2"/>
    <s v="Own"/>
    <s v="Unknown"/>
    <s v="Moderate"/>
    <n v="5084"/>
    <n v="24"/>
    <s v="Radio/TV"/>
    <x v="0"/>
    <x v="2"/>
    <x v="2"/>
  </r>
  <r>
    <n v="25"/>
    <s v="Female"/>
    <n v="1"/>
    <s v="Own"/>
    <s v="Little"/>
    <s v="rich"/>
    <n v="2327"/>
    <n v="15"/>
    <s v="Radio/TV"/>
    <x v="0"/>
    <x v="1"/>
    <x v="2"/>
  </r>
  <r>
    <n v="48"/>
    <s v="Male"/>
    <n v="2"/>
    <s v="Own"/>
    <s v="Little"/>
    <s v="Little"/>
    <n v="1082"/>
    <n v="12"/>
    <s v="Car"/>
    <x v="0"/>
    <x v="2"/>
    <x v="2"/>
  </r>
  <r>
    <n v="21"/>
    <s v="Female"/>
    <n v="2"/>
    <s v="Own"/>
    <s v="Unknown"/>
    <s v="Unknown"/>
    <n v="886"/>
    <n v="12"/>
    <s v="Radio/TV"/>
    <x v="0"/>
    <x v="1"/>
    <x v="2"/>
  </r>
  <r>
    <n v="23"/>
    <s v="Female"/>
    <n v="1"/>
    <s v="Rent"/>
    <s v="Little"/>
    <s v="Unknown"/>
    <n v="601"/>
    <n v="4"/>
    <s v="Furniture/Equipment"/>
    <x v="0"/>
    <x v="1"/>
    <x v="0"/>
  </r>
  <r>
    <n v="63"/>
    <s v="Male"/>
    <n v="2"/>
    <s v="Own"/>
    <s v="Little"/>
    <s v="Little"/>
    <n v="2957"/>
    <n v="24"/>
    <s v="Car"/>
    <x v="0"/>
    <x v="0"/>
    <x v="2"/>
  </r>
  <r>
    <n v="46"/>
    <s v="Male"/>
    <n v="2"/>
    <s v="Own"/>
    <s v="Little"/>
    <s v="Unknown"/>
    <n v="2611"/>
    <n v="24"/>
    <s v="Radio/TV"/>
    <x v="0"/>
    <x v="2"/>
    <x v="2"/>
  </r>
  <r>
    <n v="29"/>
    <s v="Male"/>
    <n v="2"/>
    <s v="Own"/>
    <s v="Little"/>
    <s v="Little"/>
    <n v="5179"/>
    <n v="36"/>
    <s v="Furniture/Equipment"/>
    <x v="2"/>
    <x v="1"/>
    <x v="1"/>
  </r>
  <r>
    <n v="28"/>
    <s v="Male"/>
    <n v="1"/>
    <s v="Own"/>
    <s v="Little"/>
    <s v="Unknown"/>
    <n v="2993"/>
    <n v="21"/>
    <s v="Car"/>
    <x v="0"/>
    <x v="1"/>
    <x v="2"/>
  </r>
  <r>
    <n v="23"/>
    <s v="Female"/>
    <n v="2"/>
    <s v="Own"/>
    <s v="Little"/>
    <s v="Unknown"/>
    <n v="1943"/>
    <n v="18"/>
    <s v="Repairs"/>
    <x v="0"/>
    <x v="1"/>
    <x v="2"/>
  </r>
  <r>
    <n v="50"/>
    <s v="Male"/>
    <n v="2"/>
    <s v="Own"/>
    <s v="Little"/>
    <s v="Unknown"/>
    <n v="1559"/>
    <n v="24"/>
    <s v="Business"/>
    <x v="0"/>
    <x v="2"/>
    <x v="2"/>
  </r>
  <r>
    <n v="47"/>
    <s v="Male"/>
    <n v="2"/>
    <s v="Own"/>
    <s v="Little"/>
    <s v="Unknown"/>
    <n v="3422"/>
    <n v="18"/>
    <s v="Furniture/Equipment"/>
    <x v="0"/>
    <x v="2"/>
    <x v="2"/>
  </r>
  <r>
    <n v="35"/>
    <s v="Male"/>
    <n v="2"/>
    <s v="Own"/>
    <s v="Unknown"/>
    <s v="Moderate"/>
    <n v="3976"/>
    <n v="21"/>
    <s v="Furniture/Equipment"/>
    <x v="0"/>
    <x v="2"/>
    <x v="2"/>
  </r>
  <r>
    <n v="68"/>
    <s v="Male"/>
    <n v="2"/>
    <s v="Rent"/>
    <s v="Unknown"/>
    <s v="Unknown"/>
    <n v="6761"/>
    <n v="18"/>
    <s v="Car"/>
    <x v="0"/>
    <x v="0"/>
    <x v="2"/>
  </r>
  <r>
    <n v="28"/>
    <s v="Male"/>
    <n v="2"/>
    <s v="Own"/>
    <s v="Little"/>
    <s v="Unknown"/>
    <n v="1249"/>
    <n v="24"/>
    <s v="Car"/>
    <x v="0"/>
    <x v="1"/>
    <x v="2"/>
  </r>
  <r>
    <n v="59"/>
    <s v="Male"/>
    <n v="2"/>
    <s v="Own"/>
    <s v="Little"/>
    <s v="Little"/>
    <n v="1364"/>
    <n v="9"/>
    <s v="Radio/TV"/>
    <x v="0"/>
    <x v="0"/>
    <x v="0"/>
  </r>
  <r>
    <n v="57"/>
    <s v="Male"/>
    <n v="1"/>
    <s v="Own"/>
    <s v="Little"/>
    <s v="Little"/>
    <n v="709"/>
    <n v="12"/>
    <s v="Radio/TV"/>
    <x v="0"/>
    <x v="0"/>
    <x v="2"/>
  </r>
  <r>
    <n v="33"/>
    <s v="Male"/>
    <n v="2"/>
    <s v="Rent"/>
    <s v="Little"/>
    <s v="Little"/>
    <n v="2235"/>
    <n v="20"/>
    <s v="Car"/>
    <x v="0"/>
    <x v="2"/>
    <x v="2"/>
  </r>
  <r>
    <n v="43"/>
    <s v="Male"/>
    <n v="2"/>
    <s v="Own"/>
    <s v="Unknown"/>
    <s v="Unknown"/>
    <n v="4042"/>
    <n v="24"/>
    <s v="Car"/>
    <x v="0"/>
    <x v="2"/>
    <x v="2"/>
  </r>
  <r>
    <n v="35"/>
    <s v="Male"/>
    <n v="2"/>
    <s v="Free"/>
    <s v="Little"/>
    <s v="Unknown"/>
    <n v="1471"/>
    <n v="15"/>
    <s v="Radio/TV"/>
    <x v="0"/>
    <x v="2"/>
    <x v="2"/>
  </r>
  <r>
    <n v="32"/>
    <s v="Male"/>
    <n v="1"/>
    <s v="Free"/>
    <s v="Little"/>
    <s v="Little"/>
    <n v="1442"/>
    <n v="18"/>
    <s v="Car"/>
    <x v="0"/>
    <x v="2"/>
    <x v="2"/>
  </r>
  <r>
    <n v="45"/>
    <s v="Male"/>
    <n v="2"/>
    <s v="Own"/>
    <s v="Little"/>
    <s v="Unknown"/>
    <n v="10875"/>
    <n v="36"/>
    <s v="Car"/>
    <x v="1"/>
    <x v="2"/>
    <x v="1"/>
  </r>
  <r>
    <n v="33"/>
    <s v="Male"/>
    <n v="2"/>
    <s v="Own"/>
    <s v="Moderate"/>
    <s v="Unknown"/>
    <n v="1474"/>
    <n v="24"/>
    <s v="Car"/>
    <x v="0"/>
    <x v="2"/>
    <x v="2"/>
  </r>
  <r>
    <n v="40"/>
    <s v="Female"/>
    <n v="2"/>
    <s v="Own"/>
    <s v="Unknown"/>
    <s v="Unknown"/>
    <n v="894"/>
    <n v="10"/>
    <s v="Education"/>
    <x v="0"/>
    <x v="2"/>
    <x v="0"/>
  </r>
  <r>
    <n v="28"/>
    <s v="Male"/>
    <n v="2"/>
    <s v="Free"/>
    <s v="Little"/>
    <s v="Unknown"/>
    <n v="3343"/>
    <n v="15"/>
    <s v="Furniture/Equipment"/>
    <x v="0"/>
    <x v="1"/>
    <x v="2"/>
  </r>
  <r>
    <n v="29"/>
    <s v="Female"/>
    <n v="2"/>
    <s v="Own"/>
    <s v="Little"/>
    <s v="Little"/>
    <n v="3959"/>
    <n v="15"/>
    <s v="Car"/>
    <x v="0"/>
    <x v="1"/>
    <x v="2"/>
  </r>
  <r>
    <n v="26"/>
    <s v="Male"/>
    <n v="2"/>
    <s v="Rent"/>
    <s v="Moderate"/>
    <s v="Unknown"/>
    <n v="3577"/>
    <n v="9"/>
    <s v="Car"/>
    <x v="0"/>
    <x v="1"/>
    <x v="0"/>
  </r>
  <r>
    <n v="27"/>
    <s v="Male"/>
    <n v="2"/>
    <s v="Own"/>
    <s v="rich"/>
    <s v="Unknown"/>
    <n v="5804"/>
    <n v="24"/>
    <s v="Car"/>
    <x v="0"/>
    <x v="1"/>
    <x v="2"/>
  </r>
  <r>
    <n v="28"/>
    <s v="Male"/>
    <n v="2"/>
    <s v="Own"/>
    <s v="Little"/>
    <s v="Unknown"/>
    <n v="2169"/>
    <n v="18"/>
    <s v="Business"/>
    <x v="0"/>
    <x v="1"/>
    <x v="2"/>
  </r>
  <r>
    <n v="35"/>
    <s v="Female"/>
    <n v="2"/>
    <s v="Own"/>
    <s v="Little"/>
    <s v="Little"/>
    <n v="2439"/>
    <n v="24"/>
    <s v="Radio/TV"/>
    <x v="0"/>
    <x v="2"/>
    <x v="2"/>
  </r>
  <r>
    <n v="32"/>
    <s v="Male"/>
    <n v="1"/>
    <s v="Own"/>
    <s v="rich"/>
    <s v="Unknown"/>
    <n v="4526"/>
    <n v="27"/>
    <s v="Furniture/Equipment"/>
    <x v="2"/>
    <x v="2"/>
    <x v="2"/>
  </r>
  <r>
    <n v="25"/>
    <s v="Male"/>
    <n v="1"/>
    <s v="Rent"/>
    <s v="Little"/>
    <s v="Unknown"/>
    <n v="2210"/>
    <n v="10"/>
    <s v="Furniture/Equipment"/>
    <x v="0"/>
    <x v="1"/>
    <x v="0"/>
  </r>
  <r>
    <n v="20"/>
    <s v="Female"/>
    <n v="2"/>
    <s v="Rent"/>
    <s v="Quite rich"/>
    <s v="Unknown"/>
    <n v="2221"/>
    <n v="15"/>
    <s v="Furniture/Equipment"/>
    <x v="0"/>
    <x v="1"/>
    <x v="2"/>
  </r>
  <r>
    <n v="27"/>
    <s v="Female"/>
    <n v="2"/>
    <s v="Own"/>
    <s v="Little"/>
    <s v="Little"/>
    <n v="2389"/>
    <n v="18"/>
    <s v="Radio/TV"/>
    <x v="0"/>
    <x v="1"/>
    <x v="2"/>
  </r>
  <r>
    <n v="42"/>
    <s v="Male"/>
    <n v="2"/>
    <s v="Own"/>
    <s v="Little"/>
    <s v="Unknown"/>
    <n v="3331"/>
    <n v="12"/>
    <s v="Furniture/Equipment"/>
    <x v="0"/>
    <x v="2"/>
    <x v="2"/>
  </r>
  <r>
    <n v="37"/>
    <s v="Male"/>
    <n v="2"/>
    <s v="Own"/>
    <s v="Unknown"/>
    <s v="Unknown"/>
    <n v="7409"/>
    <n v="36"/>
    <s v="Business"/>
    <x v="1"/>
    <x v="2"/>
    <x v="1"/>
  </r>
  <r>
    <n v="24"/>
    <s v="Female"/>
    <n v="2"/>
    <s v="Rent"/>
    <s v="Little"/>
    <s v="Little"/>
    <n v="652"/>
    <n v="12"/>
    <s v="Furniture/Equipment"/>
    <x v="0"/>
    <x v="1"/>
    <x v="2"/>
  </r>
  <r>
    <n v="40"/>
    <s v="Female"/>
    <n v="2"/>
    <s v="Own"/>
    <s v="Quite rich"/>
    <s v="Unknown"/>
    <n v="7678"/>
    <n v="36"/>
    <s v="Furniture/Equipment"/>
    <x v="1"/>
    <x v="2"/>
    <x v="1"/>
  </r>
  <r>
    <n v="46"/>
    <s v="Male"/>
    <n v="2"/>
    <s v="Own"/>
    <s v="Little"/>
    <s v="rich"/>
    <n v="1343"/>
    <n v="6"/>
    <s v="Car"/>
    <x v="0"/>
    <x v="2"/>
    <x v="0"/>
  </r>
  <r>
    <n v="26"/>
    <s v="Male"/>
    <n v="2"/>
    <s v="Own"/>
    <s v="Moderate"/>
    <s v="Little"/>
    <n v="1382"/>
    <n v="24"/>
    <s v="Business"/>
    <x v="0"/>
    <x v="1"/>
    <x v="2"/>
  </r>
  <r>
    <n v="24"/>
    <s v="Female"/>
    <n v="2"/>
    <s v="Own"/>
    <s v="Unknown"/>
    <s v="Unknown"/>
    <n v="874"/>
    <n v="15"/>
    <s v="Domestic appliances"/>
    <x v="0"/>
    <x v="1"/>
    <x v="2"/>
  </r>
  <r>
    <n v="29"/>
    <s v="Male"/>
    <n v="1"/>
    <s v="Own"/>
    <s v="Little"/>
    <s v="Little"/>
    <n v="3590"/>
    <n v="12"/>
    <s v="Furniture/Equipment"/>
    <x v="0"/>
    <x v="1"/>
    <x v="2"/>
  </r>
  <r>
    <n v="40"/>
    <s v="Female"/>
    <n v="2"/>
    <s v="Own"/>
    <s v="rich"/>
    <s v="Moderate"/>
    <n v="1322"/>
    <n v="11"/>
    <s v="Car"/>
    <x v="0"/>
    <x v="2"/>
    <x v="0"/>
  </r>
  <r>
    <n v="36"/>
    <s v="Male"/>
    <n v="3"/>
    <s v="Free"/>
    <s v="Little"/>
    <s v="Little"/>
    <n v="1940"/>
    <n v="18"/>
    <s v="Radio/TV"/>
    <x v="0"/>
    <x v="2"/>
    <x v="2"/>
  </r>
  <r>
    <n v="28"/>
    <s v="Male"/>
    <n v="2"/>
    <s v="Own"/>
    <s v="Little"/>
    <s v="Unknown"/>
    <n v="3595"/>
    <n v="36"/>
    <s v="Radio/TV"/>
    <x v="0"/>
    <x v="1"/>
    <x v="1"/>
  </r>
  <r>
    <n v="27"/>
    <s v="Male"/>
    <n v="3"/>
    <s v="Free"/>
    <s v="Little"/>
    <s v="Little"/>
    <n v="1422"/>
    <n v="9"/>
    <s v="Car"/>
    <x v="0"/>
    <x v="1"/>
    <x v="0"/>
  </r>
  <r>
    <n v="36"/>
    <s v="Male"/>
    <n v="2"/>
    <s v="Own"/>
    <s v="Unknown"/>
    <s v="Unknown"/>
    <n v="6742"/>
    <n v="30"/>
    <s v="Radio/TV"/>
    <x v="2"/>
    <x v="2"/>
    <x v="2"/>
  </r>
  <r>
    <n v="38"/>
    <s v="Male"/>
    <n v="3"/>
    <s v="Own"/>
    <s v="Little"/>
    <s v="Unknown"/>
    <n v="7814"/>
    <n v="24"/>
    <s v="Car"/>
    <x v="1"/>
    <x v="2"/>
    <x v="2"/>
  </r>
  <r>
    <n v="48"/>
    <s v="Male"/>
    <n v="2"/>
    <s v="Free"/>
    <s v="Unknown"/>
    <s v="Unknown"/>
    <n v="9277"/>
    <n v="24"/>
    <s v="Car"/>
    <x v="1"/>
    <x v="2"/>
    <x v="2"/>
  </r>
  <r>
    <n v="36"/>
    <s v="Male"/>
    <n v="2"/>
    <s v="Own"/>
    <s v="Unknown"/>
    <s v="Moderate"/>
    <n v="2181"/>
    <n v="30"/>
    <s v="Car"/>
    <x v="0"/>
    <x v="2"/>
    <x v="2"/>
  </r>
  <r>
    <n v="65"/>
    <s v="Female"/>
    <n v="0"/>
    <s v="Own"/>
    <s v="Little"/>
    <s v="Unknown"/>
    <n v="1098"/>
    <n v="18"/>
    <s v="Radio/TV"/>
    <x v="0"/>
    <x v="0"/>
    <x v="2"/>
  </r>
  <r>
    <n v="43"/>
    <s v="Male"/>
    <n v="2"/>
    <s v="Own"/>
    <s v="Little"/>
    <s v="Moderate"/>
    <n v="4057"/>
    <n v="24"/>
    <s v="Furniture/Equipment"/>
    <x v="0"/>
    <x v="2"/>
    <x v="2"/>
  </r>
  <r>
    <n v="53"/>
    <s v="Female"/>
    <n v="2"/>
    <s v="Own"/>
    <s v="Little"/>
    <s v="Little"/>
    <n v="795"/>
    <n v="12"/>
    <s v="Education"/>
    <x v="0"/>
    <x v="0"/>
    <x v="2"/>
  </r>
  <r>
    <n v="34"/>
    <s v="Male"/>
    <n v="2"/>
    <s v="Own"/>
    <s v="Unknown"/>
    <s v="Moderate"/>
    <n v="2825"/>
    <n v="24"/>
    <s v="Business"/>
    <x v="0"/>
    <x v="2"/>
    <x v="2"/>
  </r>
  <r>
    <n v="23"/>
    <s v="Male"/>
    <n v="2"/>
    <s v="Own"/>
    <s v="Little"/>
    <s v="Moderate"/>
    <n v="15672"/>
    <n v="48"/>
    <s v="Business"/>
    <x v="1"/>
    <x v="1"/>
    <x v="1"/>
  </r>
  <r>
    <n v="34"/>
    <s v="Male"/>
    <n v="3"/>
    <s v="Own"/>
    <s v="Little"/>
    <s v="Unknown"/>
    <n v="6614"/>
    <n v="36"/>
    <s v="Car"/>
    <x v="2"/>
    <x v="2"/>
    <x v="1"/>
  </r>
  <r>
    <n v="40"/>
    <s v="Male"/>
    <n v="2"/>
    <s v="Rent"/>
    <s v="Unknown"/>
    <s v="Unknown"/>
    <n v="7824"/>
    <n v="28"/>
    <s v="Car"/>
    <x v="1"/>
    <x v="2"/>
    <x v="2"/>
  </r>
  <r>
    <n v="43"/>
    <s v="Male"/>
    <n v="3"/>
    <s v="Own"/>
    <s v="Little"/>
    <s v="Little"/>
    <n v="2442"/>
    <n v="27"/>
    <s v="Business"/>
    <x v="0"/>
    <x v="2"/>
    <x v="2"/>
  </r>
  <r>
    <n v="46"/>
    <s v="Male"/>
    <n v="2"/>
    <s v="Own"/>
    <s v="Little"/>
    <s v="Unknown"/>
    <n v="1829"/>
    <n v="15"/>
    <s v="Radio/TV"/>
    <x v="0"/>
    <x v="2"/>
    <x v="2"/>
  </r>
  <r>
    <n v="38"/>
    <s v="Male"/>
    <n v="1"/>
    <s v="Own"/>
    <s v="Little"/>
    <s v="Little"/>
    <n v="2171"/>
    <n v="12"/>
    <s v="Car"/>
    <x v="0"/>
    <x v="2"/>
    <x v="2"/>
  </r>
  <r>
    <n v="34"/>
    <s v="Male"/>
    <n v="2"/>
    <s v="Own"/>
    <s v="Little"/>
    <s v="Moderate"/>
    <n v="5800"/>
    <n v="36"/>
    <s v="Car"/>
    <x v="2"/>
    <x v="2"/>
    <x v="1"/>
  </r>
  <r>
    <n v="29"/>
    <s v="Male"/>
    <n v="2"/>
    <s v="Own"/>
    <s v="Unknown"/>
    <s v="Unknown"/>
    <n v="1169"/>
    <n v="18"/>
    <s v="Radio/TV"/>
    <x v="0"/>
    <x v="1"/>
    <x v="2"/>
  </r>
  <r>
    <n v="31"/>
    <s v="Male"/>
    <n v="3"/>
    <s v="Own"/>
    <s v="Unknown"/>
    <s v="Unknown"/>
    <n v="8947"/>
    <n v="36"/>
    <s v="Car"/>
    <x v="1"/>
    <x v="2"/>
    <x v="1"/>
  </r>
  <r>
    <n v="28"/>
    <s v="Female"/>
    <n v="3"/>
    <s v="Rent"/>
    <s v="Little"/>
    <s v="Little"/>
    <n v="2606"/>
    <n v="21"/>
    <s v="Radio/TV"/>
    <x v="0"/>
    <x v="1"/>
    <x v="2"/>
  </r>
  <r>
    <n v="35"/>
    <s v="Female"/>
    <n v="2"/>
    <s v="Own"/>
    <s v="rich"/>
    <s v="Unknown"/>
    <n v="1592"/>
    <n v="12"/>
    <s v="Furniture/Equipment"/>
    <x v="0"/>
    <x v="2"/>
    <x v="2"/>
  </r>
  <r>
    <n v="33"/>
    <s v="Female"/>
    <n v="1"/>
    <s v="Rent"/>
    <s v="Unknown"/>
    <s v="Unknown"/>
    <n v="2186"/>
    <n v="15"/>
    <s v="Furniture/Equipment"/>
    <x v="0"/>
    <x v="2"/>
    <x v="2"/>
  </r>
  <r>
    <n v="42"/>
    <s v="Male"/>
    <n v="2"/>
    <s v="Own"/>
    <s v="Little"/>
    <s v="Little"/>
    <n v="4153"/>
    <n v="18"/>
    <s v="Furniture/Equipment"/>
    <x v="0"/>
    <x v="2"/>
    <x v="2"/>
  </r>
  <r>
    <n v="43"/>
    <s v="Male"/>
    <n v="2"/>
    <s v="Rent"/>
    <s v="Little"/>
    <s v="Little"/>
    <n v="2625"/>
    <n v="16"/>
    <s v="Car"/>
    <x v="0"/>
    <x v="2"/>
    <x v="2"/>
  </r>
  <r>
    <n v="44"/>
    <s v="Male"/>
    <n v="2"/>
    <s v="Own"/>
    <s v="Unknown"/>
    <s v="Unknown"/>
    <n v="3485"/>
    <n v="20"/>
    <s v="Car"/>
    <x v="0"/>
    <x v="2"/>
    <x v="2"/>
  </r>
  <r>
    <n v="42"/>
    <s v="Male"/>
    <n v="2"/>
    <s v="Free"/>
    <s v="Unknown"/>
    <s v="Unknown"/>
    <n v="10477"/>
    <n v="36"/>
    <s v="Car"/>
    <x v="1"/>
    <x v="2"/>
    <x v="1"/>
  </r>
  <r>
    <n v="40"/>
    <s v="Male"/>
    <n v="2"/>
    <s v="Rent"/>
    <s v="Unknown"/>
    <s v="Unknown"/>
    <n v="1386"/>
    <n v="15"/>
    <s v="Radio/TV"/>
    <x v="0"/>
    <x v="2"/>
    <x v="2"/>
  </r>
  <r>
    <n v="36"/>
    <s v="Male"/>
    <n v="3"/>
    <s v="Own"/>
    <s v="Little"/>
    <s v="Unknown"/>
    <n v="1278"/>
    <n v="24"/>
    <s v="Radio/TV"/>
    <x v="0"/>
    <x v="2"/>
    <x v="2"/>
  </r>
  <r>
    <n v="20"/>
    <s v="Male"/>
    <n v="3"/>
    <s v="Rent"/>
    <s v="Little"/>
    <s v="Little"/>
    <n v="1107"/>
    <n v="12"/>
    <s v="Radio/TV"/>
    <x v="0"/>
    <x v="1"/>
    <x v="2"/>
  </r>
  <r>
    <n v="24"/>
    <s v="Male"/>
    <n v="1"/>
    <s v="Own"/>
    <s v="Unknown"/>
    <s v="Little"/>
    <n v="3763"/>
    <n v="21"/>
    <s v="Car"/>
    <x v="0"/>
    <x v="1"/>
    <x v="2"/>
  </r>
  <r>
    <n v="27"/>
    <s v="Male"/>
    <n v="2"/>
    <s v="Own"/>
    <s v="Unknown"/>
    <s v="Moderate"/>
    <n v="3711"/>
    <n v="36"/>
    <s v="Education"/>
    <x v="0"/>
    <x v="1"/>
    <x v="1"/>
  </r>
  <r>
    <n v="46"/>
    <s v="Female"/>
    <n v="1"/>
    <s v="Own"/>
    <s v="Little"/>
    <s v="Unknown"/>
    <n v="3594"/>
    <n v="15"/>
    <s v="Car"/>
    <x v="0"/>
    <x v="2"/>
    <x v="2"/>
  </r>
  <r>
    <n v="33"/>
    <s v="Female"/>
    <n v="1"/>
    <s v="Own"/>
    <s v="Unknown"/>
    <s v="Moderate"/>
    <n v="3195"/>
    <n v="9"/>
    <s v="Car"/>
    <x v="0"/>
    <x v="2"/>
    <x v="0"/>
  </r>
  <r>
    <n v="34"/>
    <s v="Female"/>
    <n v="2"/>
    <s v="Own"/>
    <s v="Little"/>
    <s v="Unknown"/>
    <n v="4454"/>
    <n v="36"/>
    <s v="Radio/TV"/>
    <x v="2"/>
    <x v="2"/>
    <x v="1"/>
  </r>
  <r>
    <n v="25"/>
    <s v="Female"/>
    <n v="1"/>
    <s v="Own"/>
    <s v="Little"/>
    <s v="Moderate"/>
    <n v="4736"/>
    <n v="24"/>
    <s v="Furniture/Equipment"/>
    <x v="0"/>
    <x v="1"/>
    <x v="2"/>
  </r>
  <r>
    <n v="25"/>
    <s v="Female"/>
    <n v="2"/>
    <s v="Own"/>
    <s v="Unknown"/>
    <s v="Moderate"/>
    <n v="2991"/>
    <n v="30"/>
    <s v="Radio/TV"/>
    <x v="0"/>
    <x v="1"/>
    <x v="2"/>
  </r>
  <r>
    <n v="28"/>
    <s v="Male"/>
    <n v="2"/>
    <s v="Own"/>
    <s v="rich"/>
    <s v="Unknown"/>
    <n v="2142"/>
    <n v="11"/>
    <s v="Business"/>
    <x v="0"/>
    <x v="1"/>
    <x v="0"/>
  </r>
  <r>
    <n v="31"/>
    <s v="Male"/>
    <n v="2"/>
    <s v="Rent"/>
    <s v="Little"/>
    <s v="Little"/>
    <n v="3161"/>
    <n v="24"/>
    <s v="Business"/>
    <x v="0"/>
    <x v="2"/>
    <x v="2"/>
  </r>
  <r>
    <n v="32"/>
    <s v="Female"/>
    <n v="3"/>
    <s v="Own"/>
    <s v="Little"/>
    <s v="Moderate"/>
    <n v="18424"/>
    <n v="48"/>
    <s v="Vacation/Others"/>
    <x v="1"/>
    <x v="2"/>
    <x v="1"/>
  </r>
  <r>
    <n v="32"/>
    <s v="Male"/>
    <n v="2"/>
    <s v="Own"/>
    <s v="Moderate"/>
    <s v="Unknown"/>
    <n v="2848"/>
    <n v="10"/>
    <s v="Car"/>
    <x v="0"/>
    <x v="2"/>
    <x v="0"/>
  </r>
  <r>
    <n v="68"/>
    <s v="Male"/>
    <n v="3"/>
    <s v="Own"/>
    <s v="Little"/>
    <s v="Little"/>
    <n v="14896"/>
    <n v="6"/>
    <s v="Car"/>
    <x v="1"/>
    <x v="0"/>
    <x v="0"/>
  </r>
  <r>
    <n v="33"/>
    <s v="Male"/>
    <n v="2"/>
    <s v="Own"/>
    <s v="Moderate"/>
    <s v="Little"/>
    <n v="2359"/>
    <n v="24"/>
    <s v="Furniture/Equipment"/>
    <x v="0"/>
    <x v="2"/>
    <x v="2"/>
  </r>
  <r>
    <n v="39"/>
    <s v="Male"/>
    <n v="3"/>
    <s v="Rent"/>
    <s v="Little"/>
    <s v="Little"/>
    <n v="3345"/>
    <n v="24"/>
    <s v="Furniture/Equipment"/>
    <x v="0"/>
    <x v="2"/>
    <x v="2"/>
  </r>
  <r>
    <n v="28"/>
    <s v="Female"/>
    <n v="2"/>
    <s v="Own"/>
    <s v="Little"/>
    <s v="Unknown"/>
    <n v="1817"/>
    <n v="18"/>
    <s v="Furniture/Equipment"/>
    <x v="0"/>
    <x v="1"/>
    <x v="2"/>
  </r>
  <r>
    <n v="37"/>
    <s v="Male"/>
    <n v="3"/>
    <s v="Own"/>
    <s v="Quite rich"/>
    <s v="Unknown"/>
    <n v="12749"/>
    <n v="48"/>
    <s v="Radio/TV"/>
    <x v="1"/>
    <x v="2"/>
    <x v="1"/>
  </r>
  <r>
    <n v="22"/>
    <s v="Female"/>
    <n v="2"/>
    <s v="Rent"/>
    <s v="Little"/>
    <s v="Little"/>
    <n v="1366"/>
    <n v="9"/>
    <s v="Radio/TV"/>
    <x v="0"/>
    <x v="1"/>
    <x v="0"/>
  </r>
  <r>
    <n v="30"/>
    <s v="Male"/>
    <n v="2"/>
    <s v="Rent"/>
    <s v="Little"/>
    <s v="Moderate"/>
    <n v="2002"/>
    <n v="12"/>
    <s v="Car"/>
    <x v="0"/>
    <x v="2"/>
    <x v="2"/>
  </r>
  <r>
    <n v="55"/>
    <s v="Male"/>
    <n v="2"/>
    <s v="Own"/>
    <s v="Little"/>
    <s v="Little"/>
    <n v="6872"/>
    <n v="24"/>
    <s v="Furniture/Equipment"/>
    <x v="0"/>
    <x v="0"/>
    <x v="2"/>
  </r>
  <r>
    <n v="46"/>
    <s v="Male"/>
    <n v="2"/>
    <s v="Own"/>
    <s v="Little"/>
    <s v="Little"/>
    <n v="697"/>
    <n v="12"/>
    <s v="Car"/>
    <x v="0"/>
    <x v="2"/>
    <x v="2"/>
  </r>
  <r>
    <n v="21"/>
    <s v="Female"/>
    <n v="2"/>
    <s v="Rent"/>
    <s v="Little"/>
    <s v="Little"/>
    <n v="1049"/>
    <n v="18"/>
    <s v="Furniture/Equipment"/>
    <x v="0"/>
    <x v="1"/>
    <x v="2"/>
  </r>
  <r>
    <n v="39"/>
    <s v="Male"/>
    <n v="2"/>
    <s v="Free"/>
    <s v="Little"/>
    <s v="Little"/>
    <n v="10297"/>
    <n v="48"/>
    <s v="Car"/>
    <x v="1"/>
    <x v="2"/>
    <x v="1"/>
  </r>
  <r>
    <n v="58"/>
    <s v="Male"/>
    <n v="2"/>
    <s v="Own"/>
    <s v="Unknown"/>
    <s v="Unknown"/>
    <n v="1867"/>
    <n v="30"/>
    <s v="Radio/TV"/>
    <x v="0"/>
    <x v="0"/>
    <x v="2"/>
  </r>
  <r>
    <n v="43"/>
    <s v="Male"/>
    <n v="1"/>
    <s v="Own"/>
    <s v="Little"/>
    <s v="Little"/>
    <n v="1344"/>
    <n v="12"/>
    <s v="Car"/>
    <x v="0"/>
    <x v="2"/>
    <x v="2"/>
  </r>
  <r>
    <n v="24"/>
    <s v="Male"/>
    <n v="1"/>
    <s v="Own"/>
    <s v="Little"/>
    <s v="Little"/>
    <n v="1747"/>
    <n v="24"/>
    <s v="Furniture/Equipment"/>
    <x v="0"/>
    <x v="1"/>
    <x v="2"/>
  </r>
  <r>
    <n v="22"/>
    <s v="Female"/>
    <n v="2"/>
    <s v="Own"/>
    <s v="Little"/>
    <s v="Moderate"/>
    <n v="1670"/>
    <n v="9"/>
    <s v="Radio/TV"/>
    <x v="0"/>
    <x v="1"/>
    <x v="0"/>
  </r>
  <r>
    <n v="30"/>
    <s v="Male"/>
    <n v="2"/>
    <s v="Own"/>
    <s v="Little"/>
    <s v="Unknown"/>
    <n v="1224"/>
    <n v="9"/>
    <s v="Car"/>
    <x v="0"/>
    <x v="2"/>
    <x v="0"/>
  </r>
  <r>
    <n v="42"/>
    <s v="Male"/>
    <n v="2"/>
    <s v="Own"/>
    <s v="Quite rich"/>
    <s v="Unknown"/>
    <n v="522"/>
    <n v="12"/>
    <s v="Radio/TV"/>
    <x v="0"/>
    <x v="2"/>
    <x v="2"/>
  </r>
  <r>
    <n v="23"/>
    <s v="Female"/>
    <n v="2"/>
    <s v="Own"/>
    <s v="Little"/>
    <s v="Little"/>
    <n v="1498"/>
    <n v="12"/>
    <s v="Radio/TV"/>
    <x v="0"/>
    <x v="1"/>
    <x v="2"/>
  </r>
  <r>
    <n v="30"/>
    <s v="Male"/>
    <n v="3"/>
    <s v="Own"/>
    <s v="Moderate"/>
    <s v="Moderate"/>
    <n v="1919"/>
    <n v="30"/>
    <s v="Radio/TV"/>
    <x v="0"/>
    <x v="2"/>
    <x v="2"/>
  </r>
  <r>
    <n v="28"/>
    <s v="Female"/>
    <n v="1"/>
    <s v="Own"/>
    <s v="Little"/>
    <s v="rich"/>
    <n v="745"/>
    <n v="9"/>
    <s v="Radio/TV"/>
    <x v="0"/>
    <x v="1"/>
    <x v="0"/>
  </r>
  <r>
    <n v="30"/>
    <s v="Male"/>
    <n v="3"/>
    <s v="Rent"/>
    <s v="Little"/>
    <s v="Moderate"/>
    <n v="2063"/>
    <n v="6"/>
    <s v="Radio/TV"/>
    <x v="0"/>
    <x v="2"/>
    <x v="0"/>
  </r>
  <r>
    <n v="42"/>
    <s v="Male"/>
    <n v="2"/>
    <s v="Free"/>
    <s v="Little"/>
    <s v="Moderate"/>
    <n v="6288"/>
    <n v="60"/>
    <s v="Education"/>
    <x v="1"/>
    <x v="2"/>
    <x v="1"/>
  </r>
  <r>
    <n v="46"/>
    <s v="Male"/>
    <n v="3"/>
    <s v="Own"/>
    <s v="Unknown"/>
    <s v="Unknown"/>
    <n v="6842"/>
    <n v="24"/>
    <s v="Car"/>
    <x v="0"/>
    <x v="2"/>
    <x v="2"/>
  </r>
  <r>
    <n v="45"/>
    <s v="Male"/>
    <n v="3"/>
    <s v="Own"/>
    <s v="Unknown"/>
    <s v="Unknown"/>
    <n v="3527"/>
    <n v="12"/>
    <s v="Car"/>
    <x v="0"/>
    <x v="2"/>
    <x v="2"/>
  </r>
  <r>
    <n v="31"/>
    <s v="Male"/>
    <n v="1"/>
    <s v="Own"/>
    <s v="Little"/>
    <s v="Unknown"/>
    <n v="1546"/>
    <n v="10"/>
    <s v="Car"/>
    <x v="0"/>
    <x v="2"/>
    <x v="0"/>
  </r>
  <r>
    <n v="31"/>
    <s v="Male"/>
    <n v="2"/>
    <s v="Own"/>
    <s v="Unknown"/>
    <s v="Unknown"/>
    <n v="929"/>
    <n v="24"/>
    <s v="Furniture/Equipment"/>
    <x v="0"/>
    <x v="2"/>
    <x v="2"/>
  </r>
  <r>
    <n v="42"/>
    <s v="Male"/>
    <n v="1"/>
    <s v="Own"/>
    <s v="Little"/>
    <s v="Unknown"/>
    <n v="1455"/>
    <n v="4"/>
    <s v="Car"/>
    <x v="0"/>
    <x v="2"/>
    <x v="0"/>
  </r>
  <r>
    <n v="46"/>
    <s v="Female"/>
    <n v="2"/>
    <s v="Rent"/>
    <s v="Little"/>
    <s v="Little"/>
    <n v="1845"/>
    <n v="15"/>
    <s v="Furniture/Equipment"/>
    <x v="0"/>
    <x v="2"/>
    <x v="2"/>
  </r>
  <r>
    <n v="30"/>
    <s v="Female"/>
    <n v="2"/>
    <s v="Own"/>
    <s v="Quite rich"/>
    <s v="Moderate"/>
    <n v="8358"/>
    <n v="48"/>
    <s v="Car"/>
    <x v="1"/>
    <x v="2"/>
    <x v="1"/>
  </r>
  <r>
    <n v="30"/>
    <s v="Male"/>
    <n v="2"/>
    <s v="Free"/>
    <s v="Quite rich"/>
    <s v="Little"/>
    <n v="3349"/>
    <n v="24"/>
    <s v="Furniture/Equipment"/>
    <x v="0"/>
    <x v="2"/>
    <x v="2"/>
  </r>
  <r>
    <n v="38"/>
    <s v="Male"/>
    <n v="3"/>
    <s v="Own"/>
    <s v="Unknown"/>
    <s v="Unknown"/>
    <n v="2859"/>
    <n v="12"/>
    <s v="Car"/>
    <x v="0"/>
    <x v="2"/>
    <x v="2"/>
  </r>
  <r>
    <n v="43"/>
    <s v="Male"/>
    <n v="1"/>
    <s v="Own"/>
    <s v="Little"/>
    <s v="Unknown"/>
    <n v="1533"/>
    <n v="18"/>
    <s v="Furniture/Equipment"/>
    <x v="0"/>
    <x v="2"/>
    <x v="2"/>
  </r>
  <r>
    <n v="31"/>
    <s v="Male"/>
    <n v="2"/>
    <s v="Own"/>
    <s v="Moderate"/>
    <s v="Unknown"/>
    <n v="3621"/>
    <n v="24"/>
    <s v="Radio/TV"/>
    <x v="0"/>
    <x v="2"/>
    <x v="2"/>
  </r>
  <r>
    <n v="40"/>
    <s v="Male"/>
    <n v="0"/>
    <s v="Own"/>
    <s v="Little"/>
    <s v="Moderate"/>
    <n v="3590"/>
    <n v="18"/>
    <s v="Business"/>
    <x v="0"/>
    <x v="2"/>
    <x v="2"/>
  </r>
  <r>
    <n v="24"/>
    <s v="Male"/>
    <n v="2"/>
    <s v="Own"/>
    <s v="Little"/>
    <s v="Little"/>
    <n v="2145"/>
    <n v="36"/>
    <s v="Business"/>
    <x v="0"/>
    <x v="1"/>
    <x v="1"/>
  </r>
  <r>
    <n v="28"/>
    <s v="Female"/>
    <n v="2"/>
    <s v="Rent"/>
    <s v="Quite rich"/>
    <s v="Moderate"/>
    <n v="4113"/>
    <n v="24"/>
    <s v="Car"/>
    <x v="0"/>
    <x v="1"/>
    <x v="2"/>
  </r>
  <r>
    <n v="26"/>
    <s v="Female"/>
    <n v="3"/>
    <s v="Own"/>
    <s v="Little"/>
    <s v="Unknown"/>
    <n v="10974"/>
    <n v="36"/>
    <s v="Furniture/Equipment"/>
    <x v="1"/>
    <x v="1"/>
    <x v="1"/>
  </r>
  <r>
    <n v="29"/>
    <s v="Female"/>
    <n v="2"/>
    <s v="Own"/>
    <s v="Little"/>
    <s v="Little"/>
    <n v="1893"/>
    <n v="12"/>
    <s v="Car"/>
    <x v="0"/>
    <x v="1"/>
    <x v="2"/>
  </r>
  <r>
    <n v="57"/>
    <s v="Female"/>
    <n v="3"/>
    <s v="Rent"/>
    <s v="rich"/>
    <s v="Little"/>
    <n v="1231"/>
    <n v="24"/>
    <s v="Radio/TV"/>
    <x v="0"/>
    <x v="0"/>
    <x v="2"/>
  </r>
  <r>
    <n v="49"/>
    <s v="Male"/>
    <n v="1"/>
    <s v="Own"/>
    <s v="Unknown"/>
    <s v="rich"/>
    <n v="3656"/>
    <n v="30"/>
    <s v="Radio/TV"/>
    <x v="0"/>
    <x v="2"/>
    <x v="2"/>
  </r>
  <r>
    <n v="37"/>
    <s v="Male"/>
    <n v="1"/>
    <s v="Own"/>
    <s v="Little"/>
    <s v="Moderate"/>
    <n v="1154"/>
    <n v="9"/>
    <s v="Radio/TV"/>
    <x v="0"/>
    <x v="2"/>
    <x v="0"/>
  </r>
  <r>
    <n v="45"/>
    <s v="Male"/>
    <n v="1"/>
    <s v="Own"/>
    <s v="Little"/>
    <s v="Little"/>
    <n v="4006"/>
    <n v="28"/>
    <s v="Car"/>
    <x v="2"/>
    <x v="2"/>
    <x v="2"/>
  </r>
  <r>
    <n v="30"/>
    <s v="Male"/>
    <n v="2"/>
    <s v="Free"/>
    <s v="Moderate"/>
    <s v="Moderate"/>
    <n v="3069"/>
    <n v="24"/>
    <s v="Furniture/Equipment"/>
    <x v="0"/>
    <x v="2"/>
    <x v="2"/>
  </r>
  <r>
    <n v="30"/>
    <s v="Male"/>
    <n v="2"/>
    <s v="Rent"/>
    <s v="Little"/>
    <s v="Unknown"/>
    <n v="1740"/>
    <n v="6"/>
    <s v="Radio/TV"/>
    <x v="0"/>
    <x v="2"/>
    <x v="0"/>
  </r>
  <r>
    <n v="47"/>
    <s v="Male"/>
    <n v="2"/>
    <s v="Own"/>
    <s v="Little"/>
    <s v="Moderate"/>
    <n v="2353"/>
    <n v="21"/>
    <s v="Car"/>
    <x v="0"/>
    <x v="2"/>
    <x v="2"/>
  </r>
  <r>
    <n v="29"/>
    <s v="Male"/>
    <n v="2"/>
    <s v="Own"/>
    <s v="Unknown"/>
    <s v="Unknown"/>
    <n v="3556"/>
    <n v="15"/>
    <s v="Car"/>
    <x v="0"/>
    <x v="1"/>
    <x v="2"/>
  </r>
  <r>
    <n v="35"/>
    <s v="Male"/>
    <n v="2"/>
    <s v="Own"/>
    <s v="Quite rich"/>
    <s v="Unknown"/>
    <n v="2397"/>
    <n v="24"/>
    <s v="Radio/TV"/>
    <x v="0"/>
    <x v="2"/>
    <x v="2"/>
  </r>
  <r>
    <n v="22"/>
    <s v="Male"/>
    <n v="1"/>
    <s v="Own"/>
    <s v="Little"/>
    <s v="Moderate"/>
    <n v="454"/>
    <n v="6"/>
    <s v="Repairs"/>
    <x v="0"/>
    <x v="1"/>
    <x v="0"/>
  </r>
  <r>
    <n v="26"/>
    <s v="Female"/>
    <n v="2"/>
    <s v="Own"/>
    <s v="Unknown"/>
    <s v="Moderate"/>
    <n v="1715"/>
    <n v="30"/>
    <s v="Radio/TV"/>
    <x v="0"/>
    <x v="1"/>
    <x v="2"/>
  </r>
  <r>
    <n v="23"/>
    <s v="Male"/>
    <n v="1"/>
    <s v="Own"/>
    <s v="Quite rich"/>
    <s v="Moderate"/>
    <n v="2520"/>
    <n v="27"/>
    <s v="Radio/TV"/>
    <x v="0"/>
    <x v="1"/>
    <x v="2"/>
  </r>
  <r>
    <n v="54"/>
    <s v="Female"/>
    <n v="3"/>
    <s v="Rent"/>
    <s v="Little"/>
    <s v="Unknown"/>
    <n v="3568"/>
    <n v="15"/>
    <s v="Radio/TV"/>
    <x v="0"/>
    <x v="0"/>
    <x v="2"/>
  </r>
  <r>
    <n v="29"/>
    <s v="Male"/>
    <n v="2"/>
    <s v="Rent"/>
    <s v="Unknown"/>
    <s v="Unknown"/>
    <n v="7166"/>
    <n v="42"/>
    <s v="Radio/TV"/>
    <x v="1"/>
    <x v="1"/>
    <x v="1"/>
  </r>
  <r>
    <n v="40"/>
    <s v="Male"/>
    <n v="1"/>
    <s v="Own"/>
    <s v="Little"/>
    <s v="Little"/>
    <n v="3939"/>
    <n v="11"/>
    <s v="Car"/>
    <x v="0"/>
    <x v="2"/>
    <x v="0"/>
  </r>
  <r>
    <n v="22"/>
    <s v="Male"/>
    <n v="2"/>
    <s v="Own"/>
    <s v="Moderate"/>
    <s v="Moderate"/>
    <n v="1514"/>
    <n v="15"/>
    <s v="Repairs"/>
    <x v="0"/>
    <x v="1"/>
    <x v="2"/>
  </r>
  <r>
    <n v="43"/>
    <s v="Male"/>
    <n v="1"/>
    <s v="Own"/>
    <s v="Little"/>
    <s v="Unknown"/>
    <n v="7393"/>
    <n v="24"/>
    <s v="Car"/>
    <x v="1"/>
    <x v="2"/>
    <x v="2"/>
  </r>
  <r>
    <n v="29"/>
    <s v="Female"/>
    <n v="0"/>
    <s v="Rent"/>
    <s v="Little"/>
    <s v="Little"/>
    <n v="1193"/>
    <n v="24"/>
    <s v="Car"/>
    <x v="0"/>
    <x v="1"/>
    <x v="2"/>
  </r>
  <r>
    <n v="36"/>
    <s v="Male"/>
    <n v="2"/>
    <s v="Rent"/>
    <s v="Little"/>
    <s v="Little"/>
    <n v="7297"/>
    <n v="60"/>
    <s v="Business"/>
    <x v="1"/>
    <x v="2"/>
    <x v="1"/>
  </r>
  <r>
    <n v="33"/>
    <s v="Female"/>
    <n v="2"/>
    <s v="Own"/>
    <s v="Little"/>
    <s v="Unknown"/>
    <n v="2831"/>
    <n v="30"/>
    <s v="Radio/TV"/>
    <x v="0"/>
    <x v="2"/>
    <x v="2"/>
  </r>
  <r>
    <n v="57"/>
    <s v="Female"/>
    <n v="1"/>
    <s v="Own"/>
    <s v="Quite rich"/>
    <s v="rich"/>
    <n v="1258"/>
    <n v="24"/>
    <s v="Radio/TV"/>
    <x v="0"/>
    <x v="0"/>
    <x v="2"/>
  </r>
  <r>
    <n v="64"/>
    <s v="Female"/>
    <n v="2"/>
    <s v="Own"/>
    <s v="Little"/>
    <s v="Moderate"/>
    <n v="753"/>
    <n v="6"/>
    <s v="Radio/TV"/>
    <x v="0"/>
    <x v="0"/>
    <x v="0"/>
  </r>
  <r>
    <n v="42"/>
    <s v="Male"/>
    <n v="2"/>
    <s v="Own"/>
    <s v="Unknown"/>
    <s v="Moderate"/>
    <n v="2427"/>
    <n v="18"/>
    <s v="Business"/>
    <x v="0"/>
    <x v="2"/>
    <x v="2"/>
  </r>
  <r>
    <n v="47"/>
    <s v="Male"/>
    <n v="1"/>
    <s v="Own"/>
    <s v="Little"/>
    <s v="Unknown"/>
    <n v="2538"/>
    <n v="24"/>
    <s v="Car"/>
    <x v="0"/>
    <x v="2"/>
    <x v="2"/>
  </r>
  <r>
    <n v="25"/>
    <s v="Male"/>
    <n v="2"/>
    <s v="Rent"/>
    <s v="Moderate"/>
    <s v="Moderate"/>
    <n v="1264"/>
    <n v="15"/>
    <s v="Car"/>
    <x v="0"/>
    <x v="1"/>
    <x v="2"/>
  </r>
  <r>
    <n v="49"/>
    <s v="Male"/>
    <n v="2"/>
    <s v="Own"/>
    <s v="Little"/>
    <s v="Moderate"/>
    <n v="8386"/>
    <n v="30"/>
    <s v="Furniture/Equipment"/>
    <x v="1"/>
    <x v="2"/>
    <x v="2"/>
  </r>
  <r>
    <n v="33"/>
    <s v="Male"/>
    <n v="3"/>
    <s v="Rent"/>
    <s v="Little"/>
    <s v="Unknown"/>
    <n v="4844"/>
    <n v="48"/>
    <s v="Business"/>
    <x v="1"/>
    <x v="2"/>
    <x v="1"/>
  </r>
  <r>
    <n v="28"/>
    <s v="Female"/>
    <n v="3"/>
    <s v="Own"/>
    <s v="Moderate"/>
    <s v="rich"/>
    <n v="2923"/>
    <n v="21"/>
    <s v="Car"/>
    <x v="0"/>
    <x v="1"/>
    <x v="2"/>
  </r>
  <r>
    <n v="26"/>
    <s v="Male"/>
    <n v="2"/>
    <s v="Own"/>
    <s v="Little"/>
    <s v="Little"/>
    <n v="8229"/>
    <n v="36"/>
    <s v="Car"/>
    <x v="1"/>
    <x v="1"/>
    <x v="1"/>
  </r>
  <r>
    <n v="30"/>
    <s v="Male"/>
    <n v="1"/>
    <s v="Own"/>
    <s v="Little"/>
    <s v="Unknown"/>
    <n v="2028"/>
    <n v="24"/>
    <s v="Furniture/Equipment"/>
    <x v="0"/>
    <x v="2"/>
    <x v="2"/>
  </r>
  <r>
    <n v="25"/>
    <s v="Female"/>
    <n v="2"/>
    <s v="Rent"/>
    <s v="Little"/>
    <s v="Little"/>
    <n v="1433"/>
    <n v="15"/>
    <s v="Furniture/Equipment"/>
    <x v="0"/>
    <x v="1"/>
    <x v="2"/>
  </r>
  <r>
    <n v="33"/>
    <s v="Male"/>
    <n v="2"/>
    <s v="Own"/>
    <s v="Little"/>
    <s v="rich"/>
    <n v="6289"/>
    <n v="42"/>
    <s v="Business"/>
    <x v="1"/>
    <x v="2"/>
    <x v="1"/>
  </r>
  <r>
    <n v="64"/>
    <s v="Female"/>
    <n v="2"/>
    <s v="Own"/>
    <s v="Moderate"/>
    <s v="Unknown"/>
    <n v="1409"/>
    <n v="13"/>
    <s v="Radio/TV"/>
    <x v="0"/>
    <x v="0"/>
    <x v="2"/>
  </r>
  <r>
    <n v="29"/>
    <s v="Male"/>
    <n v="3"/>
    <s v="Free"/>
    <s v="Little"/>
    <s v="Little"/>
    <n v="6579"/>
    <n v="24"/>
    <s v="Car"/>
    <x v="0"/>
    <x v="1"/>
    <x v="2"/>
  </r>
  <r>
    <n v="48"/>
    <s v="Male"/>
    <n v="1"/>
    <s v="Own"/>
    <s v="Little"/>
    <s v="Moderate"/>
    <n v="1743"/>
    <n v="24"/>
    <s v="Radio/TV"/>
    <x v="0"/>
    <x v="2"/>
    <x v="2"/>
  </r>
  <r>
    <n v="37"/>
    <s v="Male"/>
    <n v="1"/>
    <s v="Own"/>
    <s v="Unknown"/>
    <s v="Unknown"/>
    <n v="3565"/>
    <n v="12"/>
    <s v="Education"/>
    <x v="0"/>
    <x v="2"/>
    <x v="2"/>
  </r>
  <r>
    <n v="34"/>
    <s v="Male"/>
    <n v="1"/>
    <s v="Own"/>
    <s v="Moderate"/>
    <s v="Unknown"/>
    <n v="1569"/>
    <n v="15"/>
    <s v="Radio/TV"/>
    <x v="0"/>
    <x v="2"/>
    <x v="2"/>
  </r>
  <r>
    <n v="23"/>
    <s v="Male"/>
    <n v="1"/>
    <s v="Rent"/>
    <s v="Unknown"/>
    <s v="Little"/>
    <n v="1936"/>
    <n v="18"/>
    <s v="Radio/TV"/>
    <x v="0"/>
    <x v="1"/>
    <x v="2"/>
  </r>
  <r>
    <n v="30"/>
    <s v="Male"/>
    <n v="3"/>
    <s v="Own"/>
    <s v="Little"/>
    <s v="Little"/>
    <n v="3959"/>
    <n v="36"/>
    <s v="Furniture/Equipment"/>
    <x v="0"/>
    <x v="2"/>
    <x v="1"/>
  </r>
  <r>
    <n v="50"/>
    <s v="Male"/>
    <n v="2"/>
    <s v="Own"/>
    <s v="Unknown"/>
    <s v="Unknown"/>
    <n v="2390"/>
    <n v="12"/>
    <s v="Car"/>
    <x v="0"/>
    <x v="2"/>
    <x v="2"/>
  </r>
  <r>
    <n v="31"/>
    <s v="Female"/>
    <n v="1"/>
    <s v="Own"/>
    <s v="Little"/>
    <s v="Unknown"/>
    <n v="1736"/>
    <n v="12"/>
    <s v="Furniture/Equipment"/>
    <x v="0"/>
    <x v="2"/>
    <x v="2"/>
  </r>
  <r>
    <n v="40"/>
    <s v="Male"/>
    <n v="3"/>
    <s v="Own"/>
    <s v="Little"/>
    <s v="Little"/>
    <n v="3857"/>
    <n v="30"/>
    <s v="Car"/>
    <x v="0"/>
    <x v="2"/>
    <x v="2"/>
  </r>
  <r>
    <n v="38"/>
    <s v="Male"/>
    <n v="2"/>
    <s v="Own"/>
    <s v="Little"/>
    <s v="Unknown"/>
    <n v="804"/>
    <n v="12"/>
    <s v="Radio/TV"/>
    <x v="0"/>
    <x v="2"/>
    <x v="2"/>
  </r>
  <r>
    <n v="23"/>
    <s v="Male"/>
    <n v="2"/>
    <s v="Free"/>
    <s v="Little"/>
    <s v="Little"/>
    <n v="1845"/>
    <n v="45"/>
    <s v="Radio/TV"/>
    <x v="1"/>
    <x v="1"/>
    <x v="1"/>
  </r>
  <r>
    <n v="27"/>
    <s v="Male"/>
    <n v="2"/>
    <s v="Own"/>
    <s v="Moderate"/>
    <s v="Moderate"/>
    <n v="4576"/>
    <n v="45"/>
    <s v="Car"/>
    <x v="1"/>
    <x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67"/>
    <s v="Male"/>
    <n v="2"/>
    <s v="Own"/>
    <s v="Unknown"/>
    <s v="Little"/>
    <n v="1169"/>
    <n v="6"/>
    <x v="0"/>
    <x v="0"/>
    <s v="Adult"/>
    <s v="Short"/>
    <s v="Low Risk"/>
  </r>
  <r>
    <n v="22"/>
    <s v="Female"/>
    <n v="2"/>
    <s v="Own"/>
    <s v="Little"/>
    <s v="Moderate"/>
    <n v="5951"/>
    <n v="48"/>
    <x v="0"/>
    <x v="1"/>
    <s v="Young"/>
    <s v="Long"/>
    <s v="Medium Risk"/>
  </r>
  <r>
    <n v="49"/>
    <s v="Male"/>
    <n v="1"/>
    <s v="Own"/>
    <s v="Little"/>
    <s v="Unknown"/>
    <n v="2096"/>
    <n v="12"/>
    <x v="1"/>
    <x v="0"/>
    <s v="Senior"/>
    <s v="Medium"/>
    <s v="Low Risk"/>
  </r>
  <r>
    <n v="45"/>
    <s v="Male"/>
    <n v="2"/>
    <s v="Free"/>
    <s v="Little"/>
    <s v="Little"/>
    <n v="7882"/>
    <n v="42"/>
    <x v="2"/>
    <x v="1"/>
    <s v="Senior"/>
    <s v="Long"/>
    <s v="HighRisk"/>
  </r>
  <r>
    <n v="53"/>
    <s v="Male"/>
    <n v="2"/>
    <s v="Free"/>
    <s v="Little"/>
    <s v="Little"/>
    <n v="4870"/>
    <n v="24"/>
    <x v="3"/>
    <x v="0"/>
    <s v="Adult"/>
    <s v="Medium"/>
    <s v="Medium Risk"/>
  </r>
  <r>
    <n v="35"/>
    <s v="Male"/>
    <n v="1"/>
    <s v="Free"/>
    <s v="Unknown"/>
    <s v="Unknown"/>
    <n v="9055"/>
    <n v="36"/>
    <x v="1"/>
    <x v="1"/>
    <s v="Senior"/>
    <s v="Long"/>
    <s v="HighRisk"/>
  </r>
  <r>
    <n v="53"/>
    <s v="Male"/>
    <n v="2"/>
    <s v="Own"/>
    <s v="Quite rich"/>
    <s v="Unknown"/>
    <n v="2835"/>
    <n v="24"/>
    <x v="2"/>
    <x v="0"/>
    <s v="Adult"/>
    <s v="Medium"/>
    <s v="Low Risk"/>
  </r>
  <r>
    <n v="35"/>
    <s v="Male"/>
    <n v="3"/>
    <s v="Rent"/>
    <s v="Little"/>
    <s v="Moderate"/>
    <n v="6948"/>
    <n v="36"/>
    <x v="3"/>
    <x v="2"/>
    <s v="Senior"/>
    <s v="Long"/>
    <s v="HighRisk"/>
  </r>
  <r>
    <n v="61"/>
    <s v="Male"/>
    <n v="1"/>
    <s v="Own"/>
    <s v="rich"/>
    <s v="Unknown"/>
    <n v="3059"/>
    <n v="12"/>
    <x v="0"/>
    <x v="0"/>
    <s v="Adult"/>
    <s v="Medium"/>
    <s v="Medium Risk"/>
  </r>
  <r>
    <n v="28"/>
    <s v="Male"/>
    <n v="3"/>
    <s v="Own"/>
    <s v="Little"/>
    <s v="Moderate"/>
    <n v="5234"/>
    <n v="30"/>
    <x v="3"/>
    <x v="2"/>
    <s v="Young"/>
    <s v="Medium"/>
    <s v="Medium Risk"/>
  </r>
  <r>
    <n v="25"/>
    <s v="Female"/>
    <n v="2"/>
    <s v="Rent"/>
    <s v="Little"/>
    <s v="Moderate"/>
    <n v="1295"/>
    <n v="12"/>
    <x v="3"/>
    <x v="0"/>
    <s v="Young"/>
    <s v="Medium"/>
    <s v="Low Risk"/>
  </r>
  <r>
    <n v="24"/>
    <s v="Female"/>
    <n v="2"/>
    <s v="Rent"/>
    <s v="Little"/>
    <s v="Little"/>
    <n v="4308"/>
    <n v="48"/>
    <x v="4"/>
    <x v="1"/>
    <s v="Young"/>
    <s v="Long"/>
    <s v="Medium Risk"/>
  </r>
  <r>
    <n v="22"/>
    <s v="Female"/>
    <n v="2"/>
    <s v="Own"/>
    <s v="Little"/>
    <s v="Moderate"/>
    <n v="1567"/>
    <n v="12"/>
    <x v="0"/>
    <x v="0"/>
    <s v="Young"/>
    <s v="Medium"/>
    <s v="Low Risk"/>
  </r>
  <r>
    <n v="60"/>
    <s v="Male"/>
    <n v="1"/>
    <s v="Own"/>
    <s v="Little"/>
    <s v="Little"/>
    <n v="1199"/>
    <n v="24"/>
    <x v="3"/>
    <x v="0"/>
    <s v="Adult"/>
    <s v="Medium"/>
    <s v="Low Risk"/>
  </r>
  <r>
    <n v="28"/>
    <s v="Female"/>
    <n v="2"/>
    <s v="Rent"/>
    <s v="Little"/>
    <s v="Little"/>
    <n v="1403"/>
    <n v="15"/>
    <x v="3"/>
    <x v="0"/>
    <s v="Young"/>
    <s v="Medium"/>
    <s v="Low Risk"/>
  </r>
  <r>
    <n v="32"/>
    <s v="Female"/>
    <n v="1"/>
    <s v="Own"/>
    <s v="Moderate"/>
    <s v="Little"/>
    <n v="1282"/>
    <n v="24"/>
    <x v="0"/>
    <x v="0"/>
    <s v="Senior"/>
    <s v="Medium"/>
    <s v="Low Risk"/>
  </r>
  <r>
    <n v="53"/>
    <s v="Male"/>
    <n v="2"/>
    <s v="Own"/>
    <s v="Unknown"/>
    <s v="Unknown"/>
    <n v="2424"/>
    <n v="24"/>
    <x v="0"/>
    <x v="0"/>
    <s v="Adult"/>
    <s v="Medium"/>
    <s v="Low Risk"/>
  </r>
  <r>
    <n v="25"/>
    <s v="Male"/>
    <n v="2"/>
    <s v="Own"/>
    <s v="Unknown"/>
    <s v="Little"/>
    <n v="8072"/>
    <n v="30"/>
    <x v="4"/>
    <x v="1"/>
    <s v="Young"/>
    <s v="Medium"/>
    <s v="HighRisk"/>
  </r>
  <r>
    <n v="44"/>
    <s v="Female"/>
    <n v="3"/>
    <s v="Free"/>
    <s v="Little"/>
    <s v="Moderate"/>
    <n v="12579"/>
    <n v="24"/>
    <x v="3"/>
    <x v="1"/>
    <s v="Senior"/>
    <s v="Medium"/>
    <s v="HighRisk"/>
  </r>
  <r>
    <n v="31"/>
    <s v="Male"/>
    <n v="2"/>
    <s v="Own"/>
    <s v="Quite rich"/>
    <s v="Unknown"/>
    <n v="3430"/>
    <n v="24"/>
    <x v="0"/>
    <x v="0"/>
    <s v="Senior"/>
    <s v="Medium"/>
    <s v="Medium Risk"/>
  </r>
  <r>
    <n v="48"/>
    <s v="Male"/>
    <n v="2"/>
    <s v="Own"/>
    <s v="Little"/>
    <s v="Unknown"/>
    <n v="2134"/>
    <n v="9"/>
    <x v="3"/>
    <x v="0"/>
    <s v="Senior"/>
    <s v="Short"/>
    <s v="Low Risk"/>
  </r>
  <r>
    <n v="44"/>
    <s v="Male"/>
    <n v="2"/>
    <s v="Rent"/>
    <s v="Quite rich"/>
    <s v="Little"/>
    <n v="2647"/>
    <n v="6"/>
    <x v="0"/>
    <x v="0"/>
    <s v="Senior"/>
    <s v="Short"/>
    <s v="Low Risk"/>
  </r>
  <r>
    <n v="48"/>
    <s v="Male"/>
    <n v="1"/>
    <s v="Rent"/>
    <s v="Little"/>
    <s v="Little"/>
    <n v="2241"/>
    <n v="10"/>
    <x v="3"/>
    <x v="0"/>
    <s v="Senior"/>
    <s v="Short"/>
    <s v="Low Risk"/>
  </r>
  <r>
    <n v="44"/>
    <s v="Male"/>
    <n v="2"/>
    <s v="Own"/>
    <s v="Moderate"/>
    <s v="Moderate"/>
    <n v="1804"/>
    <n v="12"/>
    <x v="3"/>
    <x v="0"/>
    <s v="Senior"/>
    <s v="Medium"/>
    <s v="Low Risk"/>
  </r>
  <r>
    <n v="26"/>
    <s v="Male"/>
    <n v="2"/>
    <s v="Own"/>
    <s v="Unknown"/>
    <s v="Unknown"/>
    <n v="2069"/>
    <n v="10"/>
    <x v="2"/>
    <x v="0"/>
    <s v="Young"/>
    <s v="Short"/>
    <s v="Low Risk"/>
  </r>
  <r>
    <n v="36"/>
    <s v="Male"/>
    <n v="1"/>
    <s v="Own"/>
    <s v="Little"/>
    <s v="Little"/>
    <n v="1374"/>
    <n v="6"/>
    <x v="2"/>
    <x v="0"/>
    <s v="Senior"/>
    <s v="Short"/>
    <s v="Low Risk"/>
  </r>
  <r>
    <n v="39"/>
    <s v="Male"/>
    <n v="1"/>
    <s v="Own"/>
    <s v="Little"/>
    <s v="Unknown"/>
    <n v="426"/>
    <n v="6"/>
    <x v="0"/>
    <x v="0"/>
    <s v="Senior"/>
    <s v="Short"/>
    <s v="Low Risk"/>
  </r>
  <r>
    <n v="42"/>
    <s v="Female"/>
    <n v="2"/>
    <s v="Rent"/>
    <s v="rich"/>
    <s v="rich"/>
    <n v="409"/>
    <n v="12"/>
    <x v="0"/>
    <x v="0"/>
    <s v="Senior"/>
    <s v="Medium"/>
    <s v="Low Risk"/>
  </r>
  <r>
    <n v="34"/>
    <s v="Male"/>
    <n v="2"/>
    <s v="Own"/>
    <s v="Little"/>
    <s v="Moderate"/>
    <n v="2415"/>
    <n v="7"/>
    <x v="0"/>
    <x v="0"/>
    <s v="Senior"/>
    <s v="Short"/>
    <s v="Low Risk"/>
  </r>
  <r>
    <n v="63"/>
    <s v="Male"/>
    <n v="2"/>
    <s v="Own"/>
    <s v="Little"/>
    <s v="Little"/>
    <n v="6836"/>
    <n v="60"/>
    <x v="4"/>
    <x v="1"/>
    <s v="Adult"/>
    <s v="Long"/>
    <s v="HighRisk"/>
  </r>
  <r>
    <n v="36"/>
    <s v="Male"/>
    <n v="2"/>
    <s v="Own"/>
    <s v="rich"/>
    <s v="Moderate"/>
    <n v="1913"/>
    <n v="18"/>
    <x v="4"/>
    <x v="0"/>
    <s v="Senior"/>
    <s v="Medium"/>
    <s v="Low Risk"/>
  </r>
  <r>
    <n v="27"/>
    <s v="Male"/>
    <n v="2"/>
    <s v="Own"/>
    <s v="Little"/>
    <s v="Little"/>
    <n v="4020"/>
    <n v="24"/>
    <x v="2"/>
    <x v="0"/>
    <s v="Young"/>
    <s v="Medium"/>
    <s v="Medium Risk"/>
  </r>
  <r>
    <n v="30"/>
    <s v="Male"/>
    <n v="2"/>
    <s v="Own"/>
    <s v="Moderate"/>
    <s v="Moderate"/>
    <n v="5866"/>
    <n v="18"/>
    <x v="3"/>
    <x v="0"/>
    <s v="Senior"/>
    <s v="Medium"/>
    <s v="Medium Risk"/>
  </r>
  <r>
    <n v="57"/>
    <s v="Male"/>
    <n v="1"/>
    <s v="Rent"/>
    <s v="Unknown"/>
    <s v="Unknown"/>
    <n v="1264"/>
    <n v="12"/>
    <x v="4"/>
    <x v="0"/>
    <s v="Adult"/>
    <s v="Medium"/>
    <s v="Low Risk"/>
  </r>
  <r>
    <n v="33"/>
    <s v="Female"/>
    <n v="3"/>
    <s v="Own"/>
    <s v="Little"/>
    <s v="rich"/>
    <n v="1474"/>
    <n v="12"/>
    <x v="2"/>
    <x v="0"/>
    <s v="Senior"/>
    <s v="Medium"/>
    <s v="Low Risk"/>
  </r>
  <r>
    <n v="25"/>
    <s v="Male"/>
    <n v="1"/>
    <s v="Own"/>
    <s v="Little"/>
    <s v="Moderate"/>
    <n v="4746"/>
    <n v="45"/>
    <x v="0"/>
    <x v="1"/>
    <s v="Young"/>
    <s v="Long"/>
    <s v="Medium Risk"/>
  </r>
  <r>
    <n v="31"/>
    <s v="Male"/>
    <n v="2"/>
    <s v="Free"/>
    <s v="Little"/>
    <s v="Unknown"/>
    <n v="6110"/>
    <n v="48"/>
    <x v="1"/>
    <x v="1"/>
    <s v="Senior"/>
    <s v="Long"/>
    <s v="HighRisk"/>
  </r>
  <r>
    <n v="37"/>
    <s v="Male"/>
    <n v="2"/>
    <s v="Own"/>
    <s v="Little"/>
    <s v="rich"/>
    <n v="2100"/>
    <n v="18"/>
    <x v="0"/>
    <x v="0"/>
    <s v="Senior"/>
    <s v="Medium"/>
    <s v="Low Risk"/>
  </r>
  <r>
    <n v="37"/>
    <s v="Male"/>
    <n v="2"/>
    <s v="Own"/>
    <s v="Little"/>
    <s v="rich"/>
    <n v="1225"/>
    <n v="10"/>
    <x v="5"/>
    <x v="0"/>
    <s v="Senior"/>
    <s v="Short"/>
    <s v="Low Risk"/>
  </r>
  <r>
    <n v="24"/>
    <s v="Male"/>
    <n v="2"/>
    <s v="Own"/>
    <s v="Little"/>
    <s v="Moderate"/>
    <n v="458"/>
    <n v="9"/>
    <x v="0"/>
    <x v="0"/>
    <s v="Young"/>
    <s v="Short"/>
    <s v="Low Risk"/>
  </r>
  <r>
    <n v="30"/>
    <s v="Male"/>
    <n v="3"/>
    <s v="Own"/>
    <s v="Quite rich"/>
    <s v="Unknown"/>
    <n v="2333"/>
    <n v="30"/>
    <x v="0"/>
    <x v="0"/>
    <s v="Senior"/>
    <s v="Medium"/>
    <s v="Low Risk"/>
  </r>
  <r>
    <n v="26"/>
    <s v="Male"/>
    <n v="2"/>
    <s v="Own"/>
    <s v="Quite rich"/>
    <s v="Moderate"/>
    <n v="1158"/>
    <n v="12"/>
    <x v="0"/>
    <x v="0"/>
    <s v="Young"/>
    <s v="Medium"/>
    <s v="Low Risk"/>
  </r>
  <r>
    <n v="44"/>
    <s v="Male"/>
    <n v="1"/>
    <s v="Own"/>
    <s v="Little"/>
    <s v="Moderate"/>
    <n v="6204"/>
    <n v="18"/>
    <x v="6"/>
    <x v="0"/>
    <s v="Senior"/>
    <s v="Medium"/>
    <s v="HighRisk"/>
  </r>
  <r>
    <n v="24"/>
    <s v="Male"/>
    <n v="2"/>
    <s v="Rent"/>
    <s v="Moderate"/>
    <s v="Little"/>
    <n v="6187"/>
    <n v="30"/>
    <x v="3"/>
    <x v="2"/>
    <s v="Young"/>
    <s v="Medium"/>
    <s v="HighRisk"/>
  </r>
  <r>
    <n v="58"/>
    <s v="Female"/>
    <n v="1"/>
    <s v="Free"/>
    <s v="Little"/>
    <s v="Little"/>
    <n v="6143"/>
    <n v="48"/>
    <x v="3"/>
    <x v="1"/>
    <s v="Adult"/>
    <s v="Long"/>
    <s v="HighRisk"/>
  </r>
  <r>
    <n v="35"/>
    <s v="Female"/>
    <n v="3"/>
    <s v="Own"/>
    <s v="Little"/>
    <s v="Unknown"/>
    <n v="1393"/>
    <n v="11"/>
    <x v="3"/>
    <x v="0"/>
    <s v="Senior"/>
    <s v="Short"/>
    <s v="Low Risk"/>
  </r>
  <r>
    <n v="39"/>
    <s v="Male"/>
    <n v="2"/>
    <s v="Own"/>
    <s v="Quite rich"/>
    <s v="Unknown"/>
    <n v="2299"/>
    <n v="36"/>
    <x v="0"/>
    <x v="0"/>
    <s v="Senior"/>
    <s v="Long"/>
    <s v="Low Risk"/>
  </r>
  <r>
    <n v="23"/>
    <s v="Female"/>
    <n v="0"/>
    <s v="Rent"/>
    <s v="Quite rich"/>
    <s v="Little"/>
    <n v="1352"/>
    <n v="6"/>
    <x v="3"/>
    <x v="0"/>
    <s v="Young"/>
    <s v="Short"/>
    <s v="Low Risk"/>
  </r>
  <r>
    <n v="39"/>
    <s v="Male"/>
    <n v="1"/>
    <s v="Own"/>
    <s v="Little"/>
    <s v="Unknown"/>
    <n v="7228"/>
    <n v="11"/>
    <x v="3"/>
    <x v="1"/>
    <s v="Senior"/>
    <s v="Short"/>
    <s v="HighRisk"/>
  </r>
  <r>
    <n v="28"/>
    <s v="Female"/>
    <n v="2"/>
    <s v="Own"/>
    <s v="Moderate"/>
    <s v="Unknown"/>
    <n v="2073"/>
    <n v="12"/>
    <x v="0"/>
    <x v="0"/>
    <s v="Young"/>
    <s v="Medium"/>
    <s v="Low Risk"/>
  </r>
  <r>
    <n v="29"/>
    <s v="Male"/>
    <n v="1"/>
    <s v="Own"/>
    <s v="Unknown"/>
    <s v="Moderate"/>
    <n v="2333"/>
    <n v="24"/>
    <x v="2"/>
    <x v="0"/>
    <s v="Young"/>
    <s v="Medium"/>
    <s v="Low Risk"/>
  </r>
  <r>
    <n v="30"/>
    <s v="Male"/>
    <n v="3"/>
    <s v="Own"/>
    <s v="Little"/>
    <s v="Moderate"/>
    <n v="5965"/>
    <n v="27"/>
    <x v="3"/>
    <x v="2"/>
    <s v="Senior"/>
    <s v="Medium"/>
    <s v="Medium Risk"/>
  </r>
  <r>
    <n v="25"/>
    <s v="Male"/>
    <n v="2"/>
    <s v="Own"/>
    <s v="Little"/>
    <s v="Unknown"/>
    <n v="1262"/>
    <n v="12"/>
    <x v="0"/>
    <x v="0"/>
    <s v="Young"/>
    <s v="Medium"/>
    <s v="Low Risk"/>
  </r>
  <r>
    <n v="31"/>
    <s v="Male"/>
    <n v="2"/>
    <s v="Own"/>
    <s v="Unknown"/>
    <s v="Unknown"/>
    <n v="3378"/>
    <n v="18"/>
    <x v="3"/>
    <x v="0"/>
    <s v="Senior"/>
    <s v="Medium"/>
    <s v="Medium Risk"/>
  </r>
  <r>
    <n v="57"/>
    <s v="Male"/>
    <n v="2"/>
    <s v="Free"/>
    <s v="Little"/>
    <s v="Moderate"/>
    <n v="2225"/>
    <n v="36"/>
    <x v="3"/>
    <x v="0"/>
    <s v="Adult"/>
    <s v="Long"/>
    <s v="Low Risk"/>
  </r>
  <r>
    <n v="26"/>
    <s v="Male"/>
    <n v="1"/>
    <s v="Own"/>
    <s v="Unknown"/>
    <s v="Unknown"/>
    <n v="783"/>
    <n v="6"/>
    <x v="3"/>
    <x v="0"/>
    <s v="Young"/>
    <s v="Short"/>
    <s v="Low Risk"/>
  </r>
  <r>
    <n v="52"/>
    <s v="Male"/>
    <n v="3"/>
    <s v="Own"/>
    <s v="Unknown"/>
    <s v="Moderate"/>
    <n v="6468"/>
    <n v="12"/>
    <x v="0"/>
    <x v="0"/>
    <s v="Adult"/>
    <s v="Medium"/>
    <s v="HighRisk"/>
  </r>
  <r>
    <n v="31"/>
    <s v="Female"/>
    <n v="2"/>
    <s v="Own"/>
    <s v="Little"/>
    <s v="Unknown"/>
    <n v="9566"/>
    <n v="36"/>
    <x v="0"/>
    <x v="1"/>
    <s v="Senior"/>
    <s v="Long"/>
    <s v="HighRisk"/>
  </r>
  <r>
    <n v="23"/>
    <s v="Female"/>
    <n v="3"/>
    <s v="Own"/>
    <s v="Little"/>
    <s v="rich"/>
    <n v="1961"/>
    <n v="18"/>
    <x v="3"/>
    <x v="0"/>
    <s v="Young"/>
    <s v="Medium"/>
    <s v="Low Risk"/>
  </r>
  <r>
    <n v="23"/>
    <s v="Female"/>
    <n v="1"/>
    <s v="Rent"/>
    <s v="Little"/>
    <s v="Little"/>
    <n v="6229"/>
    <n v="36"/>
    <x v="2"/>
    <x v="2"/>
    <s v="Young"/>
    <s v="Long"/>
    <s v="HighRisk"/>
  </r>
  <r>
    <n v="27"/>
    <s v="Male"/>
    <n v="2"/>
    <s v="Own"/>
    <s v="Little"/>
    <s v="Moderate"/>
    <n v="1391"/>
    <n v="9"/>
    <x v="4"/>
    <x v="0"/>
    <s v="Young"/>
    <s v="Short"/>
    <s v="Low Risk"/>
  </r>
  <r>
    <n v="50"/>
    <s v="Male"/>
    <n v="2"/>
    <s v="Own"/>
    <s v="Unknown"/>
    <s v="Moderate"/>
    <n v="1537"/>
    <n v="15"/>
    <x v="0"/>
    <x v="0"/>
    <s v="Senior"/>
    <s v="Medium"/>
    <s v="Low Risk"/>
  </r>
  <r>
    <n v="61"/>
    <s v="Male"/>
    <n v="3"/>
    <s v="Free"/>
    <s v="Little"/>
    <s v="Moderate"/>
    <n v="1953"/>
    <n v="36"/>
    <x v="4"/>
    <x v="0"/>
    <s v="Adult"/>
    <s v="Long"/>
    <s v="Low Risk"/>
  </r>
  <r>
    <n v="25"/>
    <s v="Male"/>
    <n v="2"/>
    <s v="Own"/>
    <s v="Little"/>
    <s v="Moderate"/>
    <n v="14421"/>
    <n v="48"/>
    <x v="4"/>
    <x v="1"/>
    <s v="Young"/>
    <s v="Long"/>
    <s v="HighRisk"/>
  </r>
  <r>
    <n v="26"/>
    <s v="Female"/>
    <n v="2"/>
    <s v="Own"/>
    <s v="Little"/>
    <s v="Unknown"/>
    <n v="3181"/>
    <n v="24"/>
    <x v="0"/>
    <x v="0"/>
    <s v="Young"/>
    <s v="Medium"/>
    <s v="Medium Risk"/>
  </r>
  <r>
    <n v="48"/>
    <s v="Male"/>
    <n v="2"/>
    <s v="Own"/>
    <s v="Unknown"/>
    <s v="Unknown"/>
    <n v="5190"/>
    <n v="27"/>
    <x v="6"/>
    <x v="2"/>
    <s v="Senior"/>
    <s v="Medium"/>
    <s v="Medium Risk"/>
  </r>
  <r>
    <n v="29"/>
    <s v="Female"/>
    <n v="2"/>
    <s v="Own"/>
    <s v="Little"/>
    <s v="Unknown"/>
    <n v="2171"/>
    <n v="12"/>
    <x v="0"/>
    <x v="0"/>
    <s v="Young"/>
    <s v="Medium"/>
    <s v="Low Risk"/>
  </r>
  <r>
    <n v="22"/>
    <s v="Male"/>
    <n v="2"/>
    <s v="Own"/>
    <s v="rich"/>
    <s v="Moderate"/>
    <n v="1007"/>
    <n v="12"/>
    <x v="3"/>
    <x v="0"/>
    <s v="Young"/>
    <s v="Medium"/>
    <s v="Low Risk"/>
  </r>
  <r>
    <n v="37"/>
    <s v="Male"/>
    <n v="2"/>
    <s v="Free"/>
    <s v="Little"/>
    <s v="Unknown"/>
    <n v="1819"/>
    <n v="36"/>
    <x v="1"/>
    <x v="0"/>
    <s v="Senior"/>
    <s v="Long"/>
    <s v="Low Risk"/>
  </r>
  <r>
    <n v="25"/>
    <s v="Female"/>
    <n v="2"/>
    <s v="Own"/>
    <s v="Unknown"/>
    <s v="Unknown"/>
    <n v="2394"/>
    <n v="36"/>
    <x v="0"/>
    <x v="0"/>
    <s v="Young"/>
    <s v="Long"/>
    <s v="Low Risk"/>
  </r>
  <r>
    <n v="30"/>
    <s v="Female"/>
    <n v="2"/>
    <s v="Own"/>
    <s v="Little"/>
    <s v="Unknown"/>
    <n v="8133"/>
    <n v="36"/>
    <x v="3"/>
    <x v="1"/>
    <s v="Senior"/>
    <s v="Long"/>
    <s v="HighRisk"/>
  </r>
  <r>
    <n v="46"/>
    <s v="Male"/>
    <n v="1"/>
    <s v="Rent"/>
    <s v="Unknown"/>
    <s v="Unknown"/>
    <n v="730"/>
    <n v="7"/>
    <x v="0"/>
    <x v="0"/>
    <s v="Senior"/>
    <s v="Short"/>
    <s v="Low Risk"/>
  </r>
  <r>
    <n v="51"/>
    <s v="Male"/>
    <n v="3"/>
    <s v="Free"/>
    <s v="Little"/>
    <s v="Little"/>
    <n v="1164"/>
    <n v="8"/>
    <x v="7"/>
    <x v="0"/>
    <s v="Adult"/>
    <s v="Short"/>
    <s v="Low Risk"/>
  </r>
  <r>
    <n v="41"/>
    <s v="Female"/>
    <n v="1"/>
    <s v="Own"/>
    <s v="Little"/>
    <s v="Moderate"/>
    <n v="5954"/>
    <n v="42"/>
    <x v="4"/>
    <x v="1"/>
    <s v="Senior"/>
    <s v="Long"/>
    <s v="Medium Risk"/>
  </r>
  <r>
    <n v="40"/>
    <s v="Male"/>
    <n v="3"/>
    <s v="Own"/>
    <s v="Unknown"/>
    <s v="Little"/>
    <n v="1977"/>
    <n v="36"/>
    <x v="1"/>
    <x v="0"/>
    <s v="Senior"/>
    <s v="Long"/>
    <s v="Low Risk"/>
  </r>
  <r>
    <n v="66"/>
    <s v="Male"/>
    <n v="3"/>
    <s v="Free"/>
    <s v="Little"/>
    <s v="Little"/>
    <n v="1526"/>
    <n v="12"/>
    <x v="3"/>
    <x v="0"/>
    <s v="Adult"/>
    <s v="Medium"/>
    <s v="Low Risk"/>
  </r>
  <r>
    <n v="34"/>
    <s v="Male"/>
    <n v="2"/>
    <s v="Own"/>
    <s v="Little"/>
    <s v="Little"/>
    <n v="3965"/>
    <n v="42"/>
    <x v="0"/>
    <x v="1"/>
    <s v="Senior"/>
    <s v="Long"/>
    <s v="Medium Risk"/>
  </r>
  <r>
    <n v="51"/>
    <s v="Male"/>
    <n v="2"/>
    <s v="Own"/>
    <s v="Little"/>
    <s v="Moderate"/>
    <n v="4771"/>
    <n v="11"/>
    <x v="0"/>
    <x v="0"/>
    <s v="Adult"/>
    <s v="Short"/>
    <s v="Medium Risk"/>
  </r>
  <r>
    <n v="39"/>
    <s v="Male"/>
    <n v="1"/>
    <s v="Own"/>
    <s v="Unknown"/>
    <s v="Unknown"/>
    <n v="9436"/>
    <n v="54"/>
    <x v="3"/>
    <x v="1"/>
    <s v="Senior"/>
    <s v="Long"/>
    <s v="HighRisk"/>
  </r>
  <r>
    <n v="22"/>
    <s v="Male"/>
    <n v="2"/>
    <s v="Own"/>
    <s v="Little"/>
    <s v="Moderate"/>
    <n v="3832"/>
    <n v="30"/>
    <x v="2"/>
    <x v="0"/>
    <s v="Young"/>
    <s v="Medium"/>
    <s v="Medium Risk"/>
  </r>
  <r>
    <n v="44"/>
    <s v="Female"/>
    <n v="2"/>
    <s v="Own"/>
    <s v="Unknown"/>
    <s v="Unknown"/>
    <n v="5943"/>
    <n v="24"/>
    <x v="0"/>
    <x v="0"/>
    <s v="Senior"/>
    <s v="Medium"/>
    <s v="Medium Risk"/>
  </r>
  <r>
    <n v="47"/>
    <s v="Male"/>
    <n v="2"/>
    <s v="Own"/>
    <s v="Quite rich"/>
    <s v="Unknown"/>
    <n v="1213"/>
    <n v="15"/>
    <x v="0"/>
    <x v="0"/>
    <s v="Senior"/>
    <s v="Medium"/>
    <s v="Low Risk"/>
  </r>
  <r>
    <n v="24"/>
    <s v="Female"/>
    <n v="1"/>
    <s v="Rent"/>
    <s v="Moderate"/>
    <s v="Unknown"/>
    <n v="1568"/>
    <n v="18"/>
    <x v="4"/>
    <x v="0"/>
    <s v="Young"/>
    <s v="Medium"/>
    <s v="Low Risk"/>
  </r>
  <r>
    <n v="58"/>
    <s v="Female"/>
    <n v="1"/>
    <s v="Own"/>
    <s v="Little"/>
    <s v="Little"/>
    <n v="1755"/>
    <n v="24"/>
    <x v="7"/>
    <x v="0"/>
    <s v="Adult"/>
    <s v="Medium"/>
    <s v="Low Risk"/>
  </r>
  <r>
    <n v="52"/>
    <s v="Male"/>
    <n v="1"/>
    <s v="Own"/>
    <s v="Little"/>
    <s v="Little"/>
    <n v="2315"/>
    <n v="10"/>
    <x v="0"/>
    <x v="0"/>
    <s v="Adult"/>
    <s v="Short"/>
    <s v="Low Risk"/>
  </r>
  <r>
    <n v="29"/>
    <s v="Female"/>
    <n v="3"/>
    <s v="Own"/>
    <s v="Little"/>
    <s v="Unknown"/>
    <n v="1412"/>
    <n v="12"/>
    <x v="4"/>
    <x v="0"/>
    <s v="Young"/>
    <s v="Medium"/>
    <s v="Low Risk"/>
  </r>
  <r>
    <n v="27"/>
    <s v="Female"/>
    <n v="2"/>
    <s v="Own"/>
    <s v="Little"/>
    <s v="Moderate"/>
    <n v="1295"/>
    <n v="18"/>
    <x v="2"/>
    <x v="0"/>
    <s v="Young"/>
    <s v="Medium"/>
    <s v="Low Risk"/>
  </r>
  <r>
    <n v="47"/>
    <s v="Male"/>
    <n v="2"/>
    <s v="Free"/>
    <s v="Moderate"/>
    <s v="Moderate"/>
    <n v="12612"/>
    <n v="36"/>
    <x v="1"/>
    <x v="1"/>
    <s v="Senior"/>
    <s v="Long"/>
    <s v="HighRisk"/>
  </r>
  <r>
    <n v="30"/>
    <s v="Male"/>
    <n v="3"/>
    <s v="Own"/>
    <s v="Moderate"/>
    <s v="Little"/>
    <n v="2249"/>
    <n v="18"/>
    <x v="3"/>
    <x v="0"/>
    <s v="Senior"/>
    <s v="Medium"/>
    <s v="Low Risk"/>
  </r>
  <r>
    <n v="28"/>
    <s v="Male"/>
    <n v="2"/>
    <s v="Own"/>
    <s v="Little"/>
    <s v="Little"/>
    <n v="1108"/>
    <n v="12"/>
    <x v="6"/>
    <x v="0"/>
    <s v="Young"/>
    <s v="Medium"/>
    <s v="Low Risk"/>
  </r>
  <r>
    <n v="56"/>
    <s v="Male"/>
    <n v="2"/>
    <s v="Own"/>
    <s v="Little"/>
    <s v="Unknown"/>
    <n v="618"/>
    <n v="12"/>
    <x v="0"/>
    <x v="0"/>
    <s v="Adult"/>
    <s v="Medium"/>
    <s v="Low Risk"/>
  </r>
  <r>
    <n v="54"/>
    <s v="Male"/>
    <n v="2"/>
    <s v="Own"/>
    <s v="Little"/>
    <s v="Little"/>
    <n v="1409"/>
    <n v="12"/>
    <x v="3"/>
    <x v="0"/>
    <s v="Adult"/>
    <s v="Medium"/>
    <s v="Low Risk"/>
  </r>
  <r>
    <n v="33"/>
    <s v="Female"/>
    <n v="1"/>
    <s v="Own"/>
    <s v="Unknown"/>
    <s v="Unknown"/>
    <n v="797"/>
    <n v="12"/>
    <x v="0"/>
    <x v="0"/>
    <s v="Senior"/>
    <s v="Medium"/>
    <s v="Low Risk"/>
  </r>
  <r>
    <n v="20"/>
    <s v="Male"/>
    <n v="2"/>
    <s v="Rent"/>
    <s v="Unknown"/>
    <s v="rich"/>
    <n v="3617"/>
    <n v="24"/>
    <x v="2"/>
    <x v="0"/>
    <s v="Young"/>
    <s v="Medium"/>
    <s v="Medium Risk"/>
  </r>
  <r>
    <n v="54"/>
    <s v="Male"/>
    <n v="2"/>
    <s v="Own"/>
    <s v="rich"/>
    <s v="Moderate"/>
    <n v="1318"/>
    <n v="12"/>
    <x v="3"/>
    <x v="0"/>
    <s v="Adult"/>
    <s v="Medium"/>
    <s v="Low Risk"/>
  </r>
  <r>
    <n v="58"/>
    <s v="Male"/>
    <n v="2"/>
    <s v="Rent"/>
    <s v="Little"/>
    <s v="Moderate"/>
    <n v="15945"/>
    <n v="54"/>
    <x v="4"/>
    <x v="1"/>
    <s v="Adult"/>
    <s v="Long"/>
    <s v="HighRisk"/>
  </r>
  <r>
    <n v="61"/>
    <s v="Female"/>
    <n v="2"/>
    <s v="Own"/>
    <s v="Unknown"/>
    <s v="Unknown"/>
    <n v="2012"/>
    <n v="12"/>
    <x v="1"/>
    <x v="0"/>
    <s v="Adult"/>
    <s v="Medium"/>
    <s v="Low Risk"/>
  </r>
  <r>
    <n v="34"/>
    <s v="Male"/>
    <n v="2"/>
    <s v="Own"/>
    <s v="Moderate"/>
    <s v="Moderate"/>
    <n v="2622"/>
    <n v="18"/>
    <x v="4"/>
    <x v="0"/>
    <s v="Senior"/>
    <s v="Medium"/>
    <s v="Low Risk"/>
  </r>
  <r>
    <n v="36"/>
    <s v="Male"/>
    <n v="2"/>
    <s v="Own"/>
    <s v="Little"/>
    <s v="Moderate"/>
    <n v="2337"/>
    <n v="36"/>
    <x v="0"/>
    <x v="0"/>
    <s v="Senior"/>
    <s v="Long"/>
    <s v="Low Risk"/>
  </r>
  <r>
    <n v="36"/>
    <s v="Male"/>
    <n v="3"/>
    <s v="Rent"/>
    <s v="Unknown"/>
    <s v="Moderate"/>
    <n v="7057"/>
    <n v="20"/>
    <x v="3"/>
    <x v="1"/>
    <s v="Senior"/>
    <s v="Medium"/>
    <s v="HighRisk"/>
  </r>
  <r>
    <n v="41"/>
    <s v="Male"/>
    <n v="1"/>
    <s v="Rent"/>
    <s v="Moderate"/>
    <s v="Unknown"/>
    <n v="1469"/>
    <n v="24"/>
    <x v="3"/>
    <x v="0"/>
    <s v="Senior"/>
    <s v="Medium"/>
    <s v="Low Risk"/>
  </r>
  <r>
    <n v="24"/>
    <s v="Male"/>
    <n v="2"/>
    <s v="Rent"/>
    <s v="Little"/>
    <s v="Moderate"/>
    <n v="2323"/>
    <n v="36"/>
    <x v="0"/>
    <x v="0"/>
    <s v="Young"/>
    <s v="Long"/>
    <s v="Low Risk"/>
  </r>
  <r>
    <n v="24"/>
    <s v="Female"/>
    <n v="2"/>
    <s v="Own"/>
    <s v="Little"/>
    <s v="Unknown"/>
    <n v="932"/>
    <n v="6"/>
    <x v="0"/>
    <x v="0"/>
    <s v="Young"/>
    <s v="Short"/>
    <s v="Low Risk"/>
  </r>
  <r>
    <n v="35"/>
    <s v="Male"/>
    <n v="2"/>
    <s v="Rent"/>
    <s v="Little"/>
    <s v="Moderate"/>
    <n v="1919"/>
    <n v="9"/>
    <x v="2"/>
    <x v="0"/>
    <s v="Senior"/>
    <s v="Short"/>
    <s v="Low Risk"/>
  </r>
  <r>
    <n v="26"/>
    <s v="Male"/>
    <n v="2"/>
    <s v="Rent"/>
    <s v="Unknown"/>
    <s v="Unknown"/>
    <n v="2445"/>
    <n v="12"/>
    <x v="3"/>
    <x v="0"/>
    <s v="Young"/>
    <s v="Medium"/>
    <s v="Low Risk"/>
  </r>
  <r>
    <n v="39"/>
    <s v="Male"/>
    <n v="3"/>
    <s v="Own"/>
    <s v="Little"/>
    <s v="Moderate"/>
    <n v="11938"/>
    <n v="24"/>
    <x v="7"/>
    <x v="1"/>
    <s v="Senior"/>
    <s v="Medium"/>
    <s v="HighRisk"/>
  </r>
  <r>
    <n v="39"/>
    <s v="Male"/>
    <n v="3"/>
    <s v="Own"/>
    <s v="Little"/>
    <s v="Unknown"/>
    <n v="6458"/>
    <n v="18"/>
    <x v="3"/>
    <x v="0"/>
    <s v="Senior"/>
    <s v="Medium"/>
    <s v="HighRisk"/>
  </r>
  <r>
    <n v="32"/>
    <s v="Male"/>
    <n v="2"/>
    <s v="Own"/>
    <s v="Little"/>
    <s v="Moderate"/>
    <n v="6078"/>
    <n v="12"/>
    <x v="3"/>
    <x v="0"/>
    <s v="Senior"/>
    <s v="Medium"/>
    <s v="HighRisk"/>
  </r>
  <r>
    <n v="30"/>
    <s v="Female"/>
    <n v="2"/>
    <s v="Own"/>
    <s v="Unknown"/>
    <s v="Little"/>
    <n v="7721"/>
    <n v="24"/>
    <x v="2"/>
    <x v="1"/>
    <s v="Senior"/>
    <s v="Medium"/>
    <s v="HighRisk"/>
  </r>
  <r>
    <n v="35"/>
    <s v="Male"/>
    <n v="2"/>
    <s v="Own"/>
    <s v="Quite rich"/>
    <s v="Moderate"/>
    <n v="1410"/>
    <n v="14"/>
    <x v="4"/>
    <x v="0"/>
    <s v="Senior"/>
    <s v="Medium"/>
    <s v="Low Risk"/>
  </r>
  <r>
    <n v="31"/>
    <s v="Male"/>
    <n v="2"/>
    <s v="Own"/>
    <s v="Moderate"/>
    <s v="Moderate"/>
    <n v="1449"/>
    <n v="6"/>
    <x v="4"/>
    <x v="0"/>
    <s v="Senior"/>
    <s v="Short"/>
    <s v="Low Risk"/>
  </r>
  <r>
    <n v="23"/>
    <s v="Female"/>
    <n v="2"/>
    <s v="Rent"/>
    <s v="Little"/>
    <s v="rich"/>
    <n v="392"/>
    <n v="15"/>
    <x v="1"/>
    <x v="0"/>
    <s v="Young"/>
    <s v="Medium"/>
    <s v="Low Risk"/>
  </r>
  <r>
    <n v="28"/>
    <s v="Male"/>
    <n v="1"/>
    <s v="Rent"/>
    <s v="Little"/>
    <s v="Moderate"/>
    <n v="6260"/>
    <n v="18"/>
    <x v="3"/>
    <x v="0"/>
    <s v="Young"/>
    <s v="Medium"/>
    <s v="HighRisk"/>
  </r>
  <r>
    <n v="25"/>
    <s v="Female"/>
    <n v="2"/>
    <s v="Own"/>
    <s v="Little"/>
    <s v="Unknown"/>
    <n v="7855"/>
    <n v="36"/>
    <x v="3"/>
    <x v="1"/>
    <s v="Young"/>
    <s v="Long"/>
    <s v="HighRisk"/>
  </r>
  <r>
    <n v="35"/>
    <s v="Male"/>
    <n v="2"/>
    <s v="Own"/>
    <s v="Quite rich"/>
    <s v="Little"/>
    <n v="1680"/>
    <n v="12"/>
    <x v="0"/>
    <x v="0"/>
    <s v="Senior"/>
    <s v="Medium"/>
    <s v="Low Risk"/>
  </r>
  <r>
    <n v="47"/>
    <s v="Male"/>
    <n v="2"/>
    <s v="Own"/>
    <s v="Unknown"/>
    <s v="Unknown"/>
    <n v="3578"/>
    <n v="48"/>
    <x v="0"/>
    <x v="1"/>
    <s v="Senior"/>
    <s v="Long"/>
    <s v="Medium Risk"/>
  </r>
  <r>
    <n v="30"/>
    <s v="Female"/>
    <n v="3"/>
    <s v="Own"/>
    <s v="Unknown"/>
    <s v="Little"/>
    <n v="7174"/>
    <n v="42"/>
    <x v="0"/>
    <x v="1"/>
    <s v="Senior"/>
    <s v="Long"/>
    <s v="HighRisk"/>
  </r>
  <r>
    <n v="27"/>
    <s v="Female"/>
    <n v="2"/>
    <s v="Rent"/>
    <s v="Unknown"/>
    <s v="Little"/>
    <n v="2132"/>
    <n v="10"/>
    <x v="2"/>
    <x v="0"/>
    <s v="Young"/>
    <s v="Short"/>
    <s v="Low Risk"/>
  </r>
  <r>
    <n v="23"/>
    <s v="Female"/>
    <n v="2"/>
    <s v="Own"/>
    <s v="Quite rich"/>
    <s v="Little"/>
    <n v="4281"/>
    <n v="33"/>
    <x v="2"/>
    <x v="2"/>
    <s v="Young"/>
    <s v="Medium"/>
    <s v="Medium Risk"/>
  </r>
  <r>
    <n v="36"/>
    <s v="Male"/>
    <n v="3"/>
    <s v="Own"/>
    <s v="Quite rich"/>
    <s v="Moderate"/>
    <n v="2366"/>
    <n v="12"/>
    <x v="3"/>
    <x v="0"/>
    <s v="Senior"/>
    <s v="Medium"/>
    <s v="Low Risk"/>
  </r>
  <r>
    <n v="25"/>
    <s v="Female"/>
    <n v="2"/>
    <s v="Own"/>
    <s v="Little"/>
    <s v="Little"/>
    <n v="1835"/>
    <n v="21"/>
    <x v="0"/>
    <x v="0"/>
    <s v="Young"/>
    <s v="Medium"/>
    <s v="Low Risk"/>
  </r>
  <r>
    <n v="41"/>
    <s v="Female"/>
    <n v="3"/>
    <s v="Rent"/>
    <s v="Little"/>
    <s v="Unknown"/>
    <n v="3868"/>
    <n v="24"/>
    <x v="3"/>
    <x v="0"/>
    <s v="Senior"/>
    <s v="Medium"/>
    <s v="Medium Risk"/>
  </r>
  <r>
    <n v="24"/>
    <s v="Male"/>
    <n v="1"/>
    <s v="Rent"/>
    <s v="Little"/>
    <s v="Unknown"/>
    <n v="1768"/>
    <n v="12"/>
    <x v="2"/>
    <x v="0"/>
    <s v="Young"/>
    <s v="Medium"/>
    <s v="Low Risk"/>
  </r>
  <r>
    <n v="63"/>
    <s v="Male"/>
    <n v="2"/>
    <s v="Free"/>
    <s v="Little"/>
    <s v="rich"/>
    <n v="781"/>
    <n v="10"/>
    <x v="3"/>
    <x v="0"/>
    <s v="Adult"/>
    <s v="Short"/>
    <s v="Low Risk"/>
  </r>
  <r>
    <n v="27"/>
    <s v="Female"/>
    <n v="2"/>
    <s v="Rent"/>
    <s v="Unknown"/>
    <s v="Moderate"/>
    <n v="1924"/>
    <n v="18"/>
    <x v="2"/>
    <x v="0"/>
    <s v="Young"/>
    <s v="Medium"/>
    <s v="Low Risk"/>
  </r>
  <r>
    <n v="30"/>
    <s v="Male"/>
    <n v="2"/>
    <s v="Own"/>
    <s v="Little"/>
    <s v="Little"/>
    <n v="2121"/>
    <n v="12"/>
    <x v="3"/>
    <x v="0"/>
    <s v="Senior"/>
    <s v="Medium"/>
    <s v="Low Risk"/>
  </r>
  <r>
    <n v="40"/>
    <s v="Male"/>
    <n v="1"/>
    <s v="Own"/>
    <s v="Little"/>
    <s v="Little"/>
    <n v="701"/>
    <n v="12"/>
    <x v="0"/>
    <x v="0"/>
    <s v="Senior"/>
    <s v="Medium"/>
    <s v="Low Risk"/>
  </r>
  <r>
    <n v="30"/>
    <s v="Male"/>
    <n v="2"/>
    <s v="Own"/>
    <s v="Little"/>
    <s v="Moderate"/>
    <n v="639"/>
    <n v="12"/>
    <x v="6"/>
    <x v="0"/>
    <s v="Senior"/>
    <s v="Medium"/>
    <s v="Low Risk"/>
  </r>
  <r>
    <n v="34"/>
    <s v="Male"/>
    <n v="3"/>
    <s v="Own"/>
    <s v="Little"/>
    <s v="Moderate"/>
    <n v="1860"/>
    <n v="12"/>
    <x v="3"/>
    <x v="0"/>
    <s v="Senior"/>
    <s v="Medium"/>
    <s v="Low Risk"/>
  </r>
  <r>
    <n v="29"/>
    <s v="Female"/>
    <n v="2"/>
    <s v="Own"/>
    <s v="Little"/>
    <s v="Little"/>
    <n v="3499"/>
    <n v="12"/>
    <x v="3"/>
    <x v="0"/>
    <s v="Young"/>
    <s v="Medium"/>
    <s v="Medium Risk"/>
  </r>
  <r>
    <n v="24"/>
    <s v="Female"/>
    <n v="2"/>
    <s v="Own"/>
    <s v="Unknown"/>
    <s v="Moderate"/>
    <n v="8487"/>
    <n v="48"/>
    <x v="3"/>
    <x v="1"/>
    <s v="Young"/>
    <s v="Long"/>
    <s v="HighRisk"/>
  </r>
  <r>
    <n v="29"/>
    <s v="Male"/>
    <n v="2"/>
    <s v="Own"/>
    <s v="Little"/>
    <s v="Little"/>
    <n v="6887"/>
    <n v="36"/>
    <x v="1"/>
    <x v="2"/>
    <s v="Young"/>
    <s v="Long"/>
    <s v="HighRisk"/>
  </r>
  <r>
    <n v="27"/>
    <s v="Male"/>
    <n v="1"/>
    <s v="Own"/>
    <s v="Little"/>
    <s v="Unknown"/>
    <n v="2708"/>
    <n v="15"/>
    <x v="2"/>
    <x v="0"/>
    <s v="Young"/>
    <s v="Medium"/>
    <s v="Low Risk"/>
  </r>
  <r>
    <n v="47"/>
    <s v="Male"/>
    <n v="2"/>
    <s v="Free"/>
    <s v="Little"/>
    <s v="Unknown"/>
    <n v="1984"/>
    <n v="18"/>
    <x v="2"/>
    <x v="0"/>
    <s v="Senior"/>
    <s v="Medium"/>
    <s v="Low Risk"/>
  </r>
  <r>
    <n v="21"/>
    <s v="Female"/>
    <n v="2"/>
    <s v="Own"/>
    <s v="Moderate"/>
    <s v="Unknown"/>
    <n v="10144"/>
    <n v="60"/>
    <x v="0"/>
    <x v="1"/>
    <s v="Young"/>
    <s v="Long"/>
    <s v="HighRisk"/>
  </r>
  <r>
    <n v="38"/>
    <s v="Female"/>
    <n v="2"/>
    <s v="Own"/>
    <s v="Unknown"/>
    <s v="Unknown"/>
    <n v="1240"/>
    <n v="12"/>
    <x v="0"/>
    <x v="0"/>
    <s v="Senior"/>
    <s v="Medium"/>
    <s v="Low Risk"/>
  </r>
  <r>
    <n v="27"/>
    <s v="Male"/>
    <n v="2"/>
    <s v="Own"/>
    <s v="rich"/>
    <s v="Unknown"/>
    <n v="8613"/>
    <n v="27"/>
    <x v="3"/>
    <x v="1"/>
    <s v="Young"/>
    <s v="Medium"/>
    <s v="HighRisk"/>
  </r>
  <r>
    <n v="66"/>
    <s v="Male"/>
    <n v="1"/>
    <s v="Own"/>
    <s v="Quite rich"/>
    <s v="Moderate"/>
    <n v="766"/>
    <n v="12"/>
    <x v="0"/>
    <x v="0"/>
    <s v="Adult"/>
    <s v="Medium"/>
    <s v="Low Risk"/>
  </r>
  <r>
    <n v="35"/>
    <s v="Male"/>
    <n v="2"/>
    <s v="Own"/>
    <s v="Unknown"/>
    <s v="Moderate"/>
    <n v="2728"/>
    <n v="15"/>
    <x v="0"/>
    <x v="0"/>
    <s v="Senior"/>
    <s v="Medium"/>
    <s v="Low Risk"/>
  </r>
  <r>
    <n v="44"/>
    <s v="Female"/>
    <n v="1"/>
    <s v="Rent"/>
    <s v="Little"/>
    <s v="rich"/>
    <n v="1881"/>
    <n v="12"/>
    <x v="0"/>
    <x v="0"/>
    <s v="Senior"/>
    <s v="Medium"/>
    <s v="Low Risk"/>
  </r>
  <r>
    <n v="27"/>
    <s v="Male"/>
    <n v="0"/>
    <s v="Own"/>
    <s v="rich"/>
    <s v="rich"/>
    <n v="709"/>
    <n v="6"/>
    <x v="3"/>
    <x v="0"/>
    <s v="Young"/>
    <s v="Short"/>
    <s v="Low Risk"/>
  </r>
  <r>
    <n v="30"/>
    <s v="Female"/>
    <n v="3"/>
    <s v="Own"/>
    <s v="Little"/>
    <s v="Moderate"/>
    <n v="4795"/>
    <n v="36"/>
    <x v="0"/>
    <x v="2"/>
    <s v="Senior"/>
    <s v="Long"/>
    <s v="Medium Risk"/>
  </r>
  <r>
    <n v="27"/>
    <s v="Male"/>
    <n v="3"/>
    <s v="Own"/>
    <s v="Little"/>
    <s v="Little"/>
    <n v="3416"/>
    <n v="27"/>
    <x v="0"/>
    <x v="0"/>
    <s v="Young"/>
    <s v="Medium"/>
    <s v="Medium Risk"/>
  </r>
  <r>
    <n v="22"/>
    <s v="Male"/>
    <n v="2"/>
    <s v="Own"/>
    <s v="Little"/>
    <s v="Little"/>
    <n v="2462"/>
    <n v="18"/>
    <x v="2"/>
    <x v="0"/>
    <s v="Young"/>
    <s v="Medium"/>
    <s v="Low Risk"/>
  </r>
  <r>
    <n v="23"/>
    <s v="Female"/>
    <n v="2"/>
    <s v="Own"/>
    <s v="Little"/>
    <s v="Unknown"/>
    <n v="2288"/>
    <n v="21"/>
    <x v="2"/>
    <x v="0"/>
    <s v="Young"/>
    <s v="Medium"/>
    <s v="Low Risk"/>
  </r>
  <r>
    <n v="30"/>
    <s v="Male"/>
    <n v="2"/>
    <s v="Own"/>
    <s v="Moderate"/>
    <s v="Moderate"/>
    <n v="3566"/>
    <n v="48"/>
    <x v="4"/>
    <x v="1"/>
    <s v="Senior"/>
    <s v="Long"/>
    <s v="Medium Risk"/>
  </r>
  <r>
    <n v="39"/>
    <s v="Female"/>
    <n v="2"/>
    <s v="Own"/>
    <s v="Little"/>
    <s v="Little"/>
    <n v="860"/>
    <n v="6"/>
    <x v="3"/>
    <x v="0"/>
    <s v="Senior"/>
    <s v="Short"/>
    <s v="Low Risk"/>
  </r>
  <r>
    <n v="51"/>
    <s v="Female"/>
    <n v="2"/>
    <s v="Own"/>
    <s v="Moderate"/>
    <s v="Unknown"/>
    <n v="682"/>
    <n v="12"/>
    <x v="3"/>
    <x v="0"/>
    <s v="Adult"/>
    <s v="Medium"/>
    <s v="Low Risk"/>
  </r>
  <r>
    <n v="28"/>
    <s v="Male"/>
    <n v="2"/>
    <s v="Own"/>
    <s v="Little"/>
    <s v="Little"/>
    <n v="5371"/>
    <n v="36"/>
    <x v="2"/>
    <x v="2"/>
    <s v="Young"/>
    <s v="Long"/>
    <s v="Medium Risk"/>
  </r>
  <r>
    <n v="46"/>
    <s v="Male"/>
    <n v="2"/>
    <s v="Own"/>
    <s v="rich"/>
    <s v="Unknown"/>
    <n v="1582"/>
    <n v="18"/>
    <x v="0"/>
    <x v="0"/>
    <s v="Senior"/>
    <s v="Medium"/>
    <s v="Low Risk"/>
  </r>
  <r>
    <n v="42"/>
    <s v="Male"/>
    <n v="2"/>
    <s v="Free"/>
    <s v="Moderate"/>
    <s v="Unknown"/>
    <n v="1346"/>
    <n v="6"/>
    <x v="0"/>
    <x v="0"/>
    <s v="Senior"/>
    <s v="Short"/>
    <s v="Low Risk"/>
  </r>
  <r>
    <n v="38"/>
    <s v="Male"/>
    <n v="2"/>
    <s v="Own"/>
    <s v="Little"/>
    <s v="Unknown"/>
    <n v="1924"/>
    <n v="10"/>
    <x v="0"/>
    <x v="0"/>
    <s v="Senior"/>
    <s v="Short"/>
    <s v="Low Risk"/>
  </r>
  <r>
    <n v="24"/>
    <s v="Male"/>
    <n v="2"/>
    <s v="Own"/>
    <s v="Little"/>
    <s v="rich"/>
    <n v="5848"/>
    <n v="36"/>
    <x v="0"/>
    <x v="2"/>
    <s v="Young"/>
    <s v="Long"/>
    <s v="Medium Risk"/>
  </r>
  <r>
    <n v="29"/>
    <s v="Female"/>
    <n v="2"/>
    <s v="Rent"/>
    <s v="rich"/>
    <s v="Moderate"/>
    <n v="7758"/>
    <n v="24"/>
    <x v="3"/>
    <x v="1"/>
    <s v="Young"/>
    <s v="Medium"/>
    <s v="HighRisk"/>
  </r>
  <r>
    <n v="36"/>
    <s v="Male"/>
    <n v="3"/>
    <s v="Rent"/>
    <s v="Moderate"/>
    <s v="Moderate"/>
    <n v="6967"/>
    <n v="24"/>
    <x v="4"/>
    <x v="0"/>
    <s v="Senior"/>
    <s v="Medium"/>
    <s v="HighRisk"/>
  </r>
  <r>
    <n v="20"/>
    <s v="Female"/>
    <n v="2"/>
    <s v="Rent"/>
    <s v="Little"/>
    <s v="Little"/>
    <n v="1282"/>
    <n v="12"/>
    <x v="2"/>
    <x v="0"/>
    <s v="Young"/>
    <s v="Medium"/>
    <s v="Low Risk"/>
  </r>
  <r>
    <n v="48"/>
    <s v="Male"/>
    <n v="2"/>
    <s v="Own"/>
    <s v="Moderate"/>
    <s v="Little"/>
    <n v="1288"/>
    <n v="9"/>
    <x v="6"/>
    <x v="0"/>
    <s v="Senior"/>
    <s v="Short"/>
    <s v="Low Risk"/>
  </r>
  <r>
    <n v="45"/>
    <s v="Male"/>
    <n v="1"/>
    <s v="Own"/>
    <s v="Little"/>
    <s v="Little"/>
    <n v="339"/>
    <n v="12"/>
    <x v="1"/>
    <x v="0"/>
    <s v="Senior"/>
    <s v="Medium"/>
    <s v="Low Risk"/>
  </r>
  <r>
    <n v="38"/>
    <s v="Male"/>
    <n v="2"/>
    <s v="Own"/>
    <s v="Moderate"/>
    <s v="Moderate"/>
    <n v="3512"/>
    <n v="24"/>
    <x v="3"/>
    <x v="0"/>
    <s v="Senior"/>
    <s v="Medium"/>
    <s v="Medium Risk"/>
  </r>
  <r>
    <n v="34"/>
    <s v="Male"/>
    <n v="1"/>
    <s v="Own"/>
    <s v="Unknown"/>
    <s v="Unknown"/>
    <n v="1898"/>
    <n v="6"/>
    <x v="0"/>
    <x v="0"/>
    <s v="Senior"/>
    <s v="Short"/>
    <s v="Low Risk"/>
  </r>
  <r>
    <n v="36"/>
    <s v="Male"/>
    <n v="2"/>
    <s v="Own"/>
    <s v="Moderate"/>
    <s v="Unknown"/>
    <n v="2872"/>
    <n v="24"/>
    <x v="0"/>
    <x v="0"/>
    <s v="Senior"/>
    <s v="Medium"/>
    <s v="Low Risk"/>
  </r>
  <r>
    <n v="30"/>
    <s v="Female"/>
    <n v="2"/>
    <s v="Own"/>
    <s v="Little"/>
    <s v="Unknown"/>
    <n v="1055"/>
    <n v="18"/>
    <x v="3"/>
    <x v="0"/>
    <s v="Senior"/>
    <s v="Medium"/>
    <s v="Low Risk"/>
  </r>
  <r>
    <n v="36"/>
    <s v="Male"/>
    <n v="2"/>
    <s v="Own"/>
    <s v="Quite rich"/>
    <s v="Unknown"/>
    <n v="1262"/>
    <n v="15"/>
    <x v="5"/>
    <x v="0"/>
    <s v="Senior"/>
    <s v="Medium"/>
    <s v="Low Risk"/>
  </r>
  <r>
    <n v="70"/>
    <s v="Male"/>
    <n v="3"/>
    <s v="Free"/>
    <s v="Little"/>
    <s v="Moderate"/>
    <n v="7308"/>
    <n v="10"/>
    <x v="3"/>
    <x v="1"/>
    <s v="Adult"/>
    <s v="Short"/>
    <s v="HighRisk"/>
  </r>
  <r>
    <n v="36"/>
    <s v="Male"/>
    <n v="2"/>
    <s v="Own"/>
    <s v="Quite rich"/>
    <s v="Unknown"/>
    <n v="909"/>
    <n v="36"/>
    <x v="3"/>
    <x v="0"/>
    <s v="Senior"/>
    <s v="Long"/>
    <s v="Low Risk"/>
  </r>
  <r>
    <n v="32"/>
    <s v="Male"/>
    <n v="2"/>
    <s v="Own"/>
    <s v="Quite rich"/>
    <s v="Unknown"/>
    <n v="2978"/>
    <n v="6"/>
    <x v="2"/>
    <x v="0"/>
    <s v="Senior"/>
    <s v="Short"/>
    <s v="Low Risk"/>
  </r>
  <r>
    <n v="33"/>
    <s v="Female"/>
    <n v="2"/>
    <s v="Own"/>
    <s v="Little"/>
    <s v="Little"/>
    <n v="1131"/>
    <n v="18"/>
    <x v="2"/>
    <x v="0"/>
    <s v="Senior"/>
    <s v="Medium"/>
    <s v="Low Risk"/>
  </r>
  <r>
    <n v="20"/>
    <s v="Female"/>
    <n v="2"/>
    <s v="Own"/>
    <s v="rich"/>
    <s v="Moderate"/>
    <n v="1577"/>
    <n v="11"/>
    <x v="2"/>
    <x v="0"/>
    <s v="Young"/>
    <s v="Short"/>
    <s v="Low Risk"/>
  </r>
  <r>
    <n v="25"/>
    <s v="Female"/>
    <n v="2"/>
    <s v="Rent"/>
    <s v="Little"/>
    <s v="Unknown"/>
    <n v="3972"/>
    <n v="24"/>
    <x v="2"/>
    <x v="0"/>
    <s v="Young"/>
    <s v="Medium"/>
    <s v="Medium Risk"/>
  </r>
  <r>
    <n v="31"/>
    <s v="Male"/>
    <n v="2"/>
    <s v="Own"/>
    <s v="Little"/>
    <s v="Moderate"/>
    <n v="1935"/>
    <n v="24"/>
    <x v="4"/>
    <x v="0"/>
    <s v="Senior"/>
    <s v="Medium"/>
    <s v="Low Risk"/>
  </r>
  <r>
    <n v="33"/>
    <s v="Male"/>
    <n v="2"/>
    <s v="Rent"/>
    <s v="Little"/>
    <s v="Little"/>
    <n v="950"/>
    <n v="15"/>
    <x v="3"/>
    <x v="0"/>
    <s v="Senior"/>
    <s v="Medium"/>
    <s v="Low Risk"/>
  </r>
  <r>
    <n v="26"/>
    <s v="Female"/>
    <n v="2"/>
    <s v="Own"/>
    <s v="Little"/>
    <s v="Unknown"/>
    <n v="763"/>
    <n v="12"/>
    <x v="2"/>
    <x v="0"/>
    <s v="Young"/>
    <s v="Medium"/>
    <s v="Low Risk"/>
  </r>
  <r>
    <n v="34"/>
    <s v="Female"/>
    <n v="3"/>
    <s v="Own"/>
    <s v="Little"/>
    <s v="Moderate"/>
    <n v="2064"/>
    <n v="24"/>
    <x v="2"/>
    <x v="0"/>
    <s v="Senior"/>
    <s v="Medium"/>
    <s v="Low Risk"/>
  </r>
  <r>
    <n v="33"/>
    <s v="Male"/>
    <n v="2"/>
    <s v="Own"/>
    <s v="Little"/>
    <s v="Moderate"/>
    <n v="1414"/>
    <n v="8"/>
    <x v="0"/>
    <x v="0"/>
    <s v="Senior"/>
    <s v="Short"/>
    <s v="Low Risk"/>
  </r>
  <r>
    <n v="26"/>
    <s v="Male"/>
    <n v="2"/>
    <s v="Own"/>
    <s v="Little"/>
    <s v="Little"/>
    <n v="3414"/>
    <n v="21"/>
    <x v="1"/>
    <x v="0"/>
    <s v="Young"/>
    <s v="Medium"/>
    <s v="Medium Risk"/>
  </r>
  <r>
    <n v="53"/>
    <s v="Female"/>
    <n v="3"/>
    <s v="Own"/>
    <s v="Unknown"/>
    <s v="Unknown"/>
    <n v="7485"/>
    <n v="30"/>
    <x v="3"/>
    <x v="1"/>
    <s v="Adult"/>
    <s v="Medium"/>
    <s v="HighRisk"/>
  </r>
  <r>
    <n v="42"/>
    <s v="Male"/>
    <n v="2"/>
    <s v="Own"/>
    <s v="Little"/>
    <s v="Little"/>
    <n v="2577"/>
    <n v="12"/>
    <x v="2"/>
    <x v="0"/>
    <s v="Senior"/>
    <s v="Medium"/>
    <s v="Low Risk"/>
  </r>
  <r>
    <n v="52"/>
    <s v="Male"/>
    <n v="2"/>
    <s v="Own"/>
    <s v="Quite rich"/>
    <s v="Little"/>
    <n v="338"/>
    <n v="6"/>
    <x v="0"/>
    <x v="0"/>
    <s v="Adult"/>
    <s v="Short"/>
    <s v="Low Risk"/>
  </r>
  <r>
    <n v="31"/>
    <s v="Male"/>
    <n v="3"/>
    <s v="Rent"/>
    <s v="Little"/>
    <s v="Unknown"/>
    <n v="1963"/>
    <n v="12"/>
    <x v="0"/>
    <x v="0"/>
    <s v="Senior"/>
    <s v="Medium"/>
    <s v="Low Risk"/>
  </r>
  <r>
    <n v="65"/>
    <s v="Male"/>
    <n v="2"/>
    <s v="Own"/>
    <s v="Little"/>
    <s v="Little"/>
    <n v="571"/>
    <n v="21"/>
    <x v="3"/>
    <x v="0"/>
    <s v="Adult"/>
    <s v="Medium"/>
    <s v="Low Risk"/>
  </r>
  <r>
    <n v="28"/>
    <s v="Male"/>
    <n v="2"/>
    <s v="Own"/>
    <s v="Little"/>
    <s v="Unknown"/>
    <n v="9572"/>
    <n v="36"/>
    <x v="4"/>
    <x v="1"/>
    <s v="Young"/>
    <s v="Long"/>
    <s v="HighRisk"/>
  </r>
  <r>
    <n v="30"/>
    <s v="Male"/>
    <n v="3"/>
    <s v="Own"/>
    <s v="Little"/>
    <s v="Moderate"/>
    <n v="4455"/>
    <n v="36"/>
    <x v="4"/>
    <x v="2"/>
    <s v="Senior"/>
    <s v="Long"/>
    <s v="Medium Risk"/>
  </r>
  <r>
    <n v="40"/>
    <s v="Male"/>
    <n v="1"/>
    <s v="Own"/>
    <s v="Unknown"/>
    <s v="Little"/>
    <n v="1647"/>
    <n v="21"/>
    <x v="3"/>
    <x v="0"/>
    <s v="Senior"/>
    <s v="Medium"/>
    <s v="Low Risk"/>
  </r>
  <r>
    <n v="50"/>
    <s v="Male"/>
    <n v="2"/>
    <s v="Own"/>
    <s v="rich"/>
    <s v="Unknown"/>
    <n v="3777"/>
    <n v="24"/>
    <x v="2"/>
    <x v="0"/>
    <s v="Senior"/>
    <s v="Medium"/>
    <s v="Medium Risk"/>
  </r>
  <r>
    <n v="36"/>
    <s v="Male"/>
    <n v="2"/>
    <s v="Own"/>
    <s v="Little"/>
    <s v="Moderate"/>
    <n v="884"/>
    <n v="18"/>
    <x v="3"/>
    <x v="0"/>
    <s v="Senior"/>
    <s v="Medium"/>
    <s v="Low Risk"/>
  </r>
  <r>
    <n v="31"/>
    <s v="Male"/>
    <n v="2"/>
    <s v="Own"/>
    <s v="Little"/>
    <s v="Unknown"/>
    <n v="1360"/>
    <n v="15"/>
    <x v="0"/>
    <x v="0"/>
    <s v="Senior"/>
    <s v="Medium"/>
    <s v="Low Risk"/>
  </r>
  <r>
    <n v="74"/>
    <s v="Female"/>
    <n v="3"/>
    <s v="Free"/>
    <s v="Little"/>
    <s v="Moderate"/>
    <n v="5129"/>
    <n v="9"/>
    <x v="3"/>
    <x v="0"/>
    <s v="Adult"/>
    <s v="Short"/>
    <s v="Medium Risk"/>
  </r>
  <r>
    <n v="68"/>
    <s v="Male"/>
    <n v="0"/>
    <s v="Free"/>
    <s v="Little"/>
    <s v="Moderate"/>
    <n v="1175"/>
    <n v="16"/>
    <x v="3"/>
    <x v="0"/>
    <s v="Adult"/>
    <s v="Medium"/>
    <s v="Low Risk"/>
  </r>
  <r>
    <n v="20"/>
    <s v="Male"/>
    <n v="2"/>
    <s v="Own"/>
    <s v="Moderate"/>
    <s v="Little"/>
    <n v="674"/>
    <n v="12"/>
    <x v="0"/>
    <x v="0"/>
    <s v="Young"/>
    <s v="Medium"/>
    <s v="Low Risk"/>
  </r>
  <r>
    <n v="33"/>
    <s v="Female"/>
    <n v="2"/>
    <s v="Own"/>
    <s v="Little"/>
    <s v="Moderate"/>
    <n v="3244"/>
    <n v="18"/>
    <x v="2"/>
    <x v="0"/>
    <s v="Senior"/>
    <s v="Medium"/>
    <s v="Medium Risk"/>
  </r>
  <r>
    <n v="54"/>
    <s v="Male"/>
    <n v="3"/>
    <s v="Own"/>
    <s v="rich"/>
    <s v="Unknown"/>
    <n v="4591"/>
    <n v="24"/>
    <x v="4"/>
    <x v="0"/>
    <s v="Adult"/>
    <s v="Medium"/>
    <s v="Medium Risk"/>
  </r>
  <r>
    <n v="34"/>
    <s v="Male"/>
    <n v="1"/>
    <s v="Free"/>
    <s v="Moderate"/>
    <s v="Moderate"/>
    <n v="3844"/>
    <n v="48"/>
    <x v="4"/>
    <x v="1"/>
    <s v="Senior"/>
    <s v="Long"/>
    <s v="Medium Risk"/>
  </r>
  <r>
    <n v="36"/>
    <s v="Male"/>
    <n v="2"/>
    <s v="Own"/>
    <s v="Little"/>
    <s v="Moderate"/>
    <n v="3915"/>
    <n v="27"/>
    <x v="4"/>
    <x v="0"/>
    <s v="Senior"/>
    <s v="Medium"/>
    <s v="Medium Risk"/>
  </r>
  <r>
    <n v="29"/>
    <s v="Male"/>
    <n v="2"/>
    <s v="Rent"/>
    <s v="Little"/>
    <s v="Unknown"/>
    <n v="2108"/>
    <n v="6"/>
    <x v="0"/>
    <x v="0"/>
    <s v="Young"/>
    <s v="Short"/>
    <s v="Low Risk"/>
  </r>
  <r>
    <n v="21"/>
    <s v="Male"/>
    <n v="2"/>
    <s v="Rent"/>
    <s v="Moderate"/>
    <s v="Moderate"/>
    <n v="3031"/>
    <n v="45"/>
    <x v="0"/>
    <x v="1"/>
    <s v="Young"/>
    <s v="Long"/>
    <s v="Medium Risk"/>
  </r>
  <r>
    <n v="34"/>
    <s v="Female"/>
    <n v="3"/>
    <s v="Own"/>
    <s v="Little"/>
    <s v="Moderate"/>
    <n v="1501"/>
    <n v="9"/>
    <x v="1"/>
    <x v="0"/>
    <s v="Senior"/>
    <s v="Short"/>
    <s v="Low Risk"/>
  </r>
  <r>
    <n v="28"/>
    <s v="Female"/>
    <n v="2"/>
    <s v="Own"/>
    <s v="Little"/>
    <s v="Unknown"/>
    <n v="1382"/>
    <n v="6"/>
    <x v="0"/>
    <x v="0"/>
    <s v="Young"/>
    <s v="Short"/>
    <s v="Low Risk"/>
  </r>
  <r>
    <n v="27"/>
    <s v="Female"/>
    <n v="2"/>
    <s v="Rent"/>
    <s v="Moderate"/>
    <s v="Moderate"/>
    <n v="951"/>
    <n v="12"/>
    <x v="2"/>
    <x v="0"/>
    <s v="Young"/>
    <s v="Medium"/>
    <s v="Low Risk"/>
  </r>
  <r>
    <n v="36"/>
    <s v="Male"/>
    <n v="2"/>
    <s v="Free"/>
    <s v="Unknown"/>
    <s v="Moderate"/>
    <n v="2760"/>
    <n v="24"/>
    <x v="3"/>
    <x v="0"/>
    <s v="Senior"/>
    <s v="Medium"/>
    <s v="Low Risk"/>
  </r>
  <r>
    <n v="40"/>
    <s v="Male"/>
    <n v="3"/>
    <s v="Own"/>
    <s v="Little"/>
    <s v="Moderate"/>
    <n v="4297"/>
    <n v="18"/>
    <x v="2"/>
    <x v="0"/>
    <s v="Senior"/>
    <s v="Medium"/>
    <s v="Medium Risk"/>
  </r>
  <r>
    <n v="52"/>
    <s v="Male"/>
    <n v="2"/>
    <s v="Own"/>
    <s v="Quite rich"/>
    <s v="Unknown"/>
    <n v="936"/>
    <n v="9"/>
    <x v="1"/>
    <x v="0"/>
    <s v="Adult"/>
    <s v="Short"/>
    <s v="Low Risk"/>
  </r>
  <r>
    <n v="27"/>
    <s v="Male"/>
    <n v="1"/>
    <s v="Own"/>
    <s v="Little"/>
    <s v="Little"/>
    <n v="1168"/>
    <n v="12"/>
    <x v="3"/>
    <x v="0"/>
    <s v="Young"/>
    <s v="Medium"/>
    <s v="Low Risk"/>
  </r>
  <r>
    <n v="26"/>
    <s v="Male"/>
    <n v="2"/>
    <s v="Own"/>
    <s v="Little"/>
    <s v="Unknown"/>
    <n v="5117"/>
    <n v="27"/>
    <x v="4"/>
    <x v="2"/>
    <s v="Young"/>
    <s v="Medium"/>
    <s v="Medium Risk"/>
  </r>
  <r>
    <n v="21"/>
    <s v="Male"/>
    <n v="2"/>
    <s v="Rent"/>
    <s v="Little"/>
    <s v="Little"/>
    <n v="902"/>
    <n v="12"/>
    <x v="1"/>
    <x v="0"/>
    <s v="Young"/>
    <s v="Medium"/>
    <s v="Low Risk"/>
  </r>
  <r>
    <n v="38"/>
    <s v="Male"/>
    <n v="1"/>
    <s v="Own"/>
    <s v="Little"/>
    <s v="Unknown"/>
    <n v="1495"/>
    <n v="12"/>
    <x v="3"/>
    <x v="0"/>
    <s v="Senior"/>
    <s v="Medium"/>
    <s v="Low Risk"/>
  </r>
  <r>
    <n v="38"/>
    <s v="Male"/>
    <n v="3"/>
    <s v="Free"/>
    <s v="Little"/>
    <s v="Little"/>
    <n v="10623"/>
    <n v="30"/>
    <x v="3"/>
    <x v="1"/>
    <s v="Senior"/>
    <s v="Medium"/>
    <s v="HighRisk"/>
  </r>
  <r>
    <n v="43"/>
    <s v="Male"/>
    <n v="2"/>
    <s v="Own"/>
    <s v="Little"/>
    <s v="Unknown"/>
    <n v="1935"/>
    <n v="12"/>
    <x v="2"/>
    <x v="0"/>
    <s v="Senior"/>
    <s v="Medium"/>
    <s v="Low Risk"/>
  </r>
  <r>
    <n v="26"/>
    <s v="Male"/>
    <n v="2"/>
    <s v="Own"/>
    <s v="Little"/>
    <s v="Moderate"/>
    <n v="1424"/>
    <n v="12"/>
    <x v="5"/>
    <x v="0"/>
    <s v="Young"/>
    <s v="Medium"/>
    <s v="Low Risk"/>
  </r>
  <r>
    <n v="21"/>
    <s v="Male"/>
    <n v="1"/>
    <s v="Own"/>
    <s v="Little"/>
    <s v="Little"/>
    <n v="6568"/>
    <n v="24"/>
    <x v="4"/>
    <x v="0"/>
    <s v="Young"/>
    <s v="Medium"/>
    <s v="HighRisk"/>
  </r>
  <r>
    <n v="55"/>
    <s v="Male"/>
    <n v="2"/>
    <s v="Own"/>
    <s v="rich"/>
    <s v="Unknown"/>
    <n v="1413"/>
    <n v="12"/>
    <x v="3"/>
    <x v="0"/>
    <s v="Adult"/>
    <s v="Medium"/>
    <s v="Low Risk"/>
  </r>
  <r>
    <n v="33"/>
    <s v="Male"/>
    <n v="2"/>
    <s v="Own"/>
    <s v="Unknown"/>
    <s v="Unknown"/>
    <n v="3074"/>
    <n v="9"/>
    <x v="0"/>
    <x v="0"/>
    <s v="Senior"/>
    <s v="Short"/>
    <s v="Medium Risk"/>
  </r>
  <r>
    <n v="45"/>
    <s v="Female"/>
    <n v="1"/>
    <s v="Own"/>
    <s v="Unknown"/>
    <s v="Unknown"/>
    <n v="3835"/>
    <n v="36"/>
    <x v="0"/>
    <x v="0"/>
    <s v="Senior"/>
    <s v="Long"/>
    <s v="Medium Risk"/>
  </r>
  <r>
    <n v="50"/>
    <s v="Male"/>
    <n v="2"/>
    <s v="Own"/>
    <s v="Little"/>
    <s v="Little"/>
    <n v="5293"/>
    <n v="27"/>
    <x v="4"/>
    <x v="2"/>
    <s v="Senior"/>
    <s v="Medium"/>
    <s v="Medium Risk"/>
  </r>
  <r>
    <n v="66"/>
    <s v="Male"/>
    <n v="3"/>
    <s v="Own"/>
    <s v="Little"/>
    <s v="rich"/>
    <n v="1908"/>
    <n v="30"/>
    <x v="4"/>
    <x v="0"/>
    <s v="Adult"/>
    <s v="Medium"/>
    <s v="Low Risk"/>
  </r>
  <r>
    <n v="51"/>
    <s v="Male"/>
    <n v="2"/>
    <s v="Own"/>
    <s v="Unknown"/>
    <s v="Unknown"/>
    <n v="3342"/>
    <n v="36"/>
    <x v="0"/>
    <x v="0"/>
    <s v="Adult"/>
    <s v="Long"/>
    <s v="Medium Risk"/>
  </r>
  <r>
    <n v="39"/>
    <s v="Female"/>
    <n v="1"/>
    <s v="Own"/>
    <s v="Unknown"/>
    <s v="Moderate"/>
    <n v="932"/>
    <n v="6"/>
    <x v="1"/>
    <x v="0"/>
    <s v="Senior"/>
    <s v="Short"/>
    <s v="Low Risk"/>
  </r>
  <r>
    <n v="31"/>
    <s v="Male"/>
    <n v="2"/>
    <s v="Own"/>
    <s v="Little"/>
    <s v="Little"/>
    <n v="3104"/>
    <n v="18"/>
    <x v="4"/>
    <x v="0"/>
    <s v="Senior"/>
    <s v="Medium"/>
    <s v="Medium Risk"/>
  </r>
  <r>
    <n v="23"/>
    <s v="Male"/>
    <n v="2"/>
    <s v="Own"/>
    <s v="Little"/>
    <s v="rich"/>
    <n v="3913"/>
    <n v="36"/>
    <x v="0"/>
    <x v="0"/>
    <s v="Young"/>
    <s v="Long"/>
    <s v="Medium Risk"/>
  </r>
  <r>
    <n v="24"/>
    <s v="Male"/>
    <n v="1"/>
    <s v="Rent"/>
    <s v="Little"/>
    <s v="Little"/>
    <n v="3021"/>
    <n v="24"/>
    <x v="2"/>
    <x v="0"/>
    <s v="Young"/>
    <s v="Medium"/>
    <s v="Medium Risk"/>
  </r>
  <r>
    <n v="64"/>
    <s v="Female"/>
    <n v="2"/>
    <s v="Own"/>
    <s v="Little"/>
    <s v="Unknown"/>
    <n v="1364"/>
    <n v="10"/>
    <x v="3"/>
    <x v="0"/>
    <s v="Adult"/>
    <s v="Short"/>
    <s v="Low Risk"/>
  </r>
  <r>
    <n v="26"/>
    <s v="Male"/>
    <n v="1"/>
    <s v="Own"/>
    <s v="Little"/>
    <s v="Moderate"/>
    <n v="625"/>
    <n v="12"/>
    <x v="0"/>
    <x v="0"/>
    <s v="Young"/>
    <s v="Medium"/>
    <s v="Low Risk"/>
  </r>
  <r>
    <n v="23"/>
    <s v="Female"/>
    <n v="2"/>
    <s v="Rent"/>
    <s v="Unknown"/>
    <s v="Little"/>
    <n v="1200"/>
    <n v="12"/>
    <x v="1"/>
    <x v="0"/>
    <s v="Young"/>
    <s v="Medium"/>
    <s v="Low Risk"/>
  </r>
  <r>
    <n v="30"/>
    <s v="Male"/>
    <n v="2"/>
    <s v="Own"/>
    <s v="Little"/>
    <s v="Unknown"/>
    <n v="707"/>
    <n v="12"/>
    <x v="0"/>
    <x v="0"/>
    <s v="Senior"/>
    <s v="Medium"/>
    <s v="Low Risk"/>
  </r>
  <r>
    <n v="32"/>
    <s v="Male"/>
    <n v="2"/>
    <s v="Own"/>
    <s v="Unknown"/>
    <s v="Unknown"/>
    <n v="2978"/>
    <n v="24"/>
    <x v="4"/>
    <x v="0"/>
    <s v="Senior"/>
    <s v="Medium"/>
    <s v="Low Risk"/>
  </r>
  <r>
    <n v="30"/>
    <s v="Male"/>
    <n v="2"/>
    <s v="Own"/>
    <s v="Little"/>
    <s v="Unknown"/>
    <n v="4657"/>
    <n v="15"/>
    <x v="3"/>
    <x v="0"/>
    <s v="Senior"/>
    <s v="Medium"/>
    <s v="Medium Risk"/>
  </r>
  <r>
    <n v="27"/>
    <s v="Male"/>
    <n v="2"/>
    <s v="Own"/>
    <s v="Little"/>
    <s v="Unknown"/>
    <n v="2613"/>
    <n v="36"/>
    <x v="6"/>
    <x v="0"/>
    <s v="Young"/>
    <s v="Long"/>
    <s v="Low Risk"/>
  </r>
  <r>
    <n v="27"/>
    <s v="Male"/>
    <n v="2"/>
    <s v="Own"/>
    <s v="rich"/>
    <s v="Moderate"/>
    <n v="10961"/>
    <n v="48"/>
    <x v="0"/>
    <x v="1"/>
    <s v="Young"/>
    <s v="Long"/>
    <s v="HighRisk"/>
  </r>
  <r>
    <n v="53"/>
    <s v="Male"/>
    <n v="3"/>
    <s v="Free"/>
    <s v="Little"/>
    <s v="Little"/>
    <n v="7865"/>
    <n v="12"/>
    <x v="2"/>
    <x v="1"/>
    <s v="Adult"/>
    <s v="Medium"/>
    <s v="HighRisk"/>
  </r>
  <r>
    <n v="22"/>
    <s v="Male"/>
    <n v="2"/>
    <s v="Own"/>
    <s v="Little"/>
    <s v="Unknown"/>
    <n v="1478"/>
    <n v="9"/>
    <x v="0"/>
    <x v="0"/>
    <s v="Young"/>
    <s v="Short"/>
    <s v="Low Risk"/>
  </r>
  <r>
    <n v="22"/>
    <s v="Male"/>
    <n v="2"/>
    <s v="Free"/>
    <s v="Little"/>
    <s v="Little"/>
    <n v="3149"/>
    <n v="24"/>
    <x v="2"/>
    <x v="0"/>
    <s v="Young"/>
    <s v="Medium"/>
    <s v="Medium Risk"/>
  </r>
  <r>
    <n v="26"/>
    <s v="Male"/>
    <n v="2"/>
    <s v="Own"/>
    <s v="Little"/>
    <s v="rich"/>
    <n v="4210"/>
    <n v="36"/>
    <x v="0"/>
    <x v="2"/>
    <s v="Young"/>
    <s v="Long"/>
    <s v="Medium Risk"/>
  </r>
  <r>
    <n v="51"/>
    <s v="Male"/>
    <n v="1"/>
    <s v="Free"/>
    <s v="Quite rich"/>
    <s v="Unknown"/>
    <n v="2507"/>
    <n v="9"/>
    <x v="3"/>
    <x v="0"/>
    <s v="Adult"/>
    <s v="Short"/>
    <s v="Low Risk"/>
  </r>
  <r>
    <n v="35"/>
    <s v="Male"/>
    <n v="2"/>
    <s v="Own"/>
    <s v="Moderate"/>
    <s v="Unknown"/>
    <n v="2141"/>
    <n v="12"/>
    <x v="0"/>
    <x v="0"/>
    <s v="Senior"/>
    <s v="Medium"/>
    <s v="Low Risk"/>
  </r>
  <r>
    <n v="25"/>
    <s v="Male"/>
    <n v="1"/>
    <s v="Own"/>
    <s v="Little"/>
    <s v="Moderate"/>
    <n v="866"/>
    <n v="18"/>
    <x v="0"/>
    <x v="0"/>
    <s v="Young"/>
    <s v="Medium"/>
    <s v="Low Risk"/>
  </r>
  <r>
    <n v="42"/>
    <s v="Male"/>
    <n v="1"/>
    <s v="Own"/>
    <s v="Little"/>
    <s v="Unknown"/>
    <n v="1544"/>
    <n v="4"/>
    <x v="0"/>
    <x v="0"/>
    <s v="Senior"/>
    <s v="Short"/>
    <s v="Low Risk"/>
  </r>
  <r>
    <n v="30"/>
    <s v="Male"/>
    <n v="3"/>
    <s v="Own"/>
    <s v="Little"/>
    <s v="Little"/>
    <n v="1823"/>
    <n v="24"/>
    <x v="0"/>
    <x v="0"/>
    <s v="Senior"/>
    <s v="Medium"/>
    <s v="Low Risk"/>
  </r>
  <r>
    <n v="23"/>
    <s v="Male"/>
    <n v="0"/>
    <s v="Own"/>
    <s v="Unknown"/>
    <s v="Moderate"/>
    <n v="14555"/>
    <n v="6"/>
    <x v="3"/>
    <x v="1"/>
    <s v="Young"/>
    <s v="Short"/>
    <s v="HighRisk"/>
  </r>
  <r>
    <n v="61"/>
    <s v="Male"/>
    <n v="1"/>
    <s v="Rent"/>
    <s v="Moderate"/>
    <s v="Moderate"/>
    <n v="2767"/>
    <n v="21"/>
    <x v="4"/>
    <x v="0"/>
    <s v="Adult"/>
    <s v="Medium"/>
    <s v="Low Risk"/>
  </r>
  <r>
    <n v="35"/>
    <s v="Female"/>
    <n v="2"/>
    <s v="Own"/>
    <s v="Little"/>
    <s v="Unknown"/>
    <n v="1291"/>
    <n v="12"/>
    <x v="0"/>
    <x v="0"/>
    <s v="Senior"/>
    <s v="Medium"/>
    <s v="Low Risk"/>
  </r>
  <r>
    <n v="39"/>
    <s v="Male"/>
    <n v="2"/>
    <s v="Own"/>
    <s v="Little"/>
    <s v="Little"/>
    <n v="2522"/>
    <n v="30"/>
    <x v="0"/>
    <x v="0"/>
    <s v="Senior"/>
    <s v="Medium"/>
    <s v="Low Risk"/>
  </r>
  <r>
    <n v="29"/>
    <s v="Female"/>
    <n v="2"/>
    <s v="Own"/>
    <s v="Unknown"/>
    <s v="Little"/>
    <n v="915"/>
    <n v="24"/>
    <x v="3"/>
    <x v="0"/>
    <s v="Young"/>
    <s v="Medium"/>
    <s v="Low Risk"/>
  </r>
  <r>
    <n v="51"/>
    <s v="Male"/>
    <n v="2"/>
    <s v="Own"/>
    <s v="Little"/>
    <s v="Unknown"/>
    <n v="1595"/>
    <n v="6"/>
    <x v="0"/>
    <x v="0"/>
    <s v="Adult"/>
    <s v="Short"/>
    <s v="Low Risk"/>
  </r>
  <r>
    <n v="24"/>
    <s v="Male"/>
    <n v="2"/>
    <s v="Free"/>
    <s v="Little"/>
    <s v="Little"/>
    <n v="4605"/>
    <n v="48"/>
    <x v="3"/>
    <x v="1"/>
    <s v="Young"/>
    <s v="Long"/>
    <s v="Medium Risk"/>
  </r>
  <r>
    <n v="27"/>
    <s v="Female"/>
    <n v="2"/>
    <s v="Own"/>
    <s v="Little"/>
    <s v="Unknown"/>
    <n v="1185"/>
    <n v="12"/>
    <x v="4"/>
    <x v="0"/>
    <s v="Young"/>
    <s v="Medium"/>
    <s v="Low Risk"/>
  </r>
  <r>
    <n v="35"/>
    <s v="Female"/>
    <n v="1"/>
    <s v="Own"/>
    <s v="Quite rich"/>
    <s v="Unknown"/>
    <n v="3447"/>
    <n v="12"/>
    <x v="1"/>
    <x v="0"/>
    <s v="Senior"/>
    <s v="Medium"/>
    <s v="Medium Risk"/>
  </r>
  <r>
    <n v="25"/>
    <s v="Male"/>
    <n v="2"/>
    <s v="Own"/>
    <s v="Little"/>
    <s v="Unknown"/>
    <n v="1258"/>
    <n v="24"/>
    <x v="4"/>
    <x v="0"/>
    <s v="Young"/>
    <s v="Medium"/>
    <s v="Low Risk"/>
  </r>
  <r>
    <n v="52"/>
    <s v="Male"/>
    <n v="2"/>
    <s v="Own"/>
    <s v="Little"/>
    <s v="Unknown"/>
    <n v="717"/>
    <n v="12"/>
    <x v="0"/>
    <x v="0"/>
    <s v="Adult"/>
    <s v="Medium"/>
    <s v="Low Risk"/>
  </r>
  <r>
    <n v="35"/>
    <s v="Male"/>
    <n v="2"/>
    <s v="Rent"/>
    <s v="Moderate"/>
    <s v="Unknown"/>
    <n v="1204"/>
    <n v="6"/>
    <x v="3"/>
    <x v="0"/>
    <s v="Senior"/>
    <s v="Short"/>
    <s v="Low Risk"/>
  </r>
  <r>
    <n v="26"/>
    <s v="Male"/>
    <n v="2"/>
    <s v="Own"/>
    <s v="Little"/>
    <s v="rich"/>
    <n v="1925"/>
    <n v="24"/>
    <x v="2"/>
    <x v="0"/>
    <s v="Young"/>
    <s v="Medium"/>
    <s v="Low Risk"/>
  </r>
  <r>
    <n v="22"/>
    <s v="Female"/>
    <n v="2"/>
    <s v="Rent"/>
    <s v="Little"/>
    <s v="Unknown"/>
    <n v="433"/>
    <n v="18"/>
    <x v="0"/>
    <x v="0"/>
    <s v="Young"/>
    <s v="Medium"/>
    <s v="Low Risk"/>
  </r>
  <r>
    <n v="39"/>
    <s v="Female"/>
    <n v="1"/>
    <s v="Own"/>
    <s v="rich"/>
    <s v="Little"/>
    <n v="666"/>
    <n v="6"/>
    <x v="3"/>
    <x v="0"/>
    <s v="Senior"/>
    <s v="Short"/>
    <s v="Low Risk"/>
  </r>
  <r>
    <n v="46"/>
    <s v="Female"/>
    <n v="1"/>
    <s v="Own"/>
    <s v="Little"/>
    <s v="rich"/>
    <n v="2251"/>
    <n v="12"/>
    <x v="2"/>
    <x v="0"/>
    <s v="Senior"/>
    <s v="Medium"/>
    <s v="Low Risk"/>
  </r>
  <r>
    <n v="24"/>
    <s v="Female"/>
    <n v="2"/>
    <s v="Own"/>
    <s v="Little"/>
    <s v="Moderate"/>
    <n v="2150"/>
    <n v="30"/>
    <x v="3"/>
    <x v="0"/>
    <s v="Young"/>
    <s v="Medium"/>
    <s v="Low Risk"/>
  </r>
  <r>
    <n v="35"/>
    <s v="Male"/>
    <n v="2"/>
    <s v="Own"/>
    <s v="Moderate"/>
    <s v="Unknown"/>
    <n v="4151"/>
    <n v="24"/>
    <x v="2"/>
    <x v="0"/>
    <s v="Senior"/>
    <s v="Medium"/>
    <s v="Medium Risk"/>
  </r>
  <r>
    <n v="24"/>
    <s v="Male"/>
    <n v="2"/>
    <s v="Own"/>
    <s v="Unknown"/>
    <s v="Moderate"/>
    <n v="2030"/>
    <n v="9"/>
    <x v="2"/>
    <x v="0"/>
    <s v="Young"/>
    <s v="Short"/>
    <s v="Low Risk"/>
  </r>
  <r>
    <n v="27"/>
    <s v="Male"/>
    <n v="1"/>
    <s v="Own"/>
    <s v="Unknown"/>
    <s v="Moderate"/>
    <n v="7418"/>
    <n v="60"/>
    <x v="0"/>
    <x v="1"/>
    <s v="Young"/>
    <s v="Long"/>
    <s v="HighRisk"/>
  </r>
  <r>
    <n v="35"/>
    <s v="Male"/>
    <n v="1"/>
    <s v="Own"/>
    <s v="Little"/>
    <s v="Unknown"/>
    <n v="2684"/>
    <n v="24"/>
    <x v="0"/>
    <x v="0"/>
    <s v="Senior"/>
    <s v="Medium"/>
    <s v="Low Risk"/>
  </r>
  <r>
    <n v="29"/>
    <s v="Male"/>
    <n v="2"/>
    <s v="Free"/>
    <s v="Little"/>
    <s v="Little"/>
    <n v="2149"/>
    <n v="12"/>
    <x v="0"/>
    <x v="0"/>
    <s v="Young"/>
    <s v="Medium"/>
    <s v="Low Risk"/>
  </r>
  <r>
    <n v="23"/>
    <s v="Female"/>
    <n v="2"/>
    <s v="Own"/>
    <s v="Moderate"/>
    <s v="Unknown"/>
    <n v="3812"/>
    <n v="15"/>
    <x v="3"/>
    <x v="0"/>
    <s v="Young"/>
    <s v="Medium"/>
    <s v="Medium Risk"/>
  </r>
  <r>
    <n v="57"/>
    <s v="Female"/>
    <n v="1"/>
    <s v="Own"/>
    <s v="Moderate"/>
    <s v="Unknown"/>
    <n v="1154"/>
    <n v="11"/>
    <x v="0"/>
    <x v="0"/>
    <s v="Adult"/>
    <s v="Short"/>
    <s v="Low Risk"/>
  </r>
  <r>
    <n v="27"/>
    <s v="Male"/>
    <n v="2"/>
    <s v="Own"/>
    <s v="Little"/>
    <s v="Little"/>
    <n v="1657"/>
    <n v="12"/>
    <x v="2"/>
    <x v="0"/>
    <s v="Young"/>
    <s v="Medium"/>
    <s v="Low Risk"/>
  </r>
  <r>
    <n v="55"/>
    <s v="Female"/>
    <n v="2"/>
    <s v="Own"/>
    <s v="Little"/>
    <s v="Little"/>
    <n v="1603"/>
    <n v="24"/>
    <x v="0"/>
    <x v="0"/>
    <s v="Adult"/>
    <s v="Medium"/>
    <s v="Low Risk"/>
  </r>
  <r>
    <n v="36"/>
    <s v="Male"/>
    <n v="3"/>
    <s v="Free"/>
    <s v="Little"/>
    <s v="Little"/>
    <n v="5302"/>
    <n v="18"/>
    <x v="3"/>
    <x v="0"/>
    <s v="Senior"/>
    <s v="Medium"/>
    <s v="Medium Risk"/>
  </r>
  <r>
    <n v="57"/>
    <s v="Female"/>
    <n v="1"/>
    <s v="Free"/>
    <s v="Little"/>
    <s v="Unknown"/>
    <n v="2748"/>
    <n v="12"/>
    <x v="1"/>
    <x v="0"/>
    <s v="Adult"/>
    <s v="Medium"/>
    <s v="Low Risk"/>
  </r>
  <r>
    <n v="32"/>
    <s v="Male"/>
    <n v="1"/>
    <s v="Own"/>
    <s v="Little"/>
    <s v="Unknown"/>
    <n v="1231"/>
    <n v="10"/>
    <x v="3"/>
    <x v="0"/>
    <s v="Senior"/>
    <s v="Short"/>
    <s v="Low Risk"/>
  </r>
  <r>
    <n v="37"/>
    <s v="Male"/>
    <n v="2"/>
    <s v="Own"/>
    <s v="Little"/>
    <s v="Moderate"/>
    <n v="802"/>
    <n v="15"/>
    <x v="0"/>
    <x v="0"/>
    <s v="Senior"/>
    <s v="Medium"/>
    <s v="Low Risk"/>
  </r>
  <r>
    <n v="36"/>
    <s v="Male"/>
    <n v="2"/>
    <s v="Own"/>
    <s v="Unknown"/>
    <s v="Unknown"/>
    <n v="6304"/>
    <n v="36"/>
    <x v="4"/>
    <x v="2"/>
    <s v="Senior"/>
    <s v="Long"/>
    <s v="HighRisk"/>
  </r>
  <r>
    <n v="38"/>
    <s v="Female"/>
    <n v="2"/>
    <s v="Own"/>
    <s v="Little"/>
    <s v="Unknown"/>
    <n v="1533"/>
    <n v="24"/>
    <x v="0"/>
    <x v="0"/>
    <s v="Senior"/>
    <s v="Medium"/>
    <s v="Low Risk"/>
  </r>
  <r>
    <n v="45"/>
    <s v="Male"/>
    <n v="3"/>
    <s v="Own"/>
    <s v="Little"/>
    <s v="Little"/>
    <n v="8978"/>
    <n v="14"/>
    <x v="3"/>
    <x v="1"/>
    <s v="Senior"/>
    <s v="Medium"/>
    <s v="HighRisk"/>
  </r>
  <r>
    <n v="25"/>
    <s v="Male"/>
    <n v="2"/>
    <s v="Own"/>
    <s v="Unknown"/>
    <s v="Unknown"/>
    <n v="999"/>
    <n v="24"/>
    <x v="0"/>
    <x v="0"/>
    <s v="Young"/>
    <s v="Medium"/>
    <s v="Low Risk"/>
  </r>
  <r>
    <n v="32"/>
    <s v="Male"/>
    <n v="2"/>
    <s v="Own"/>
    <s v="Unknown"/>
    <s v="Unknown"/>
    <n v="2662"/>
    <n v="18"/>
    <x v="3"/>
    <x v="0"/>
    <s v="Senior"/>
    <s v="Medium"/>
    <s v="Low Risk"/>
  </r>
  <r>
    <n v="37"/>
    <s v="Female"/>
    <n v="2"/>
    <s v="Rent"/>
    <s v="Quite rich"/>
    <s v="Unknown"/>
    <n v="1402"/>
    <n v="12"/>
    <x v="2"/>
    <x v="0"/>
    <s v="Senior"/>
    <s v="Medium"/>
    <s v="Low Risk"/>
  </r>
  <r>
    <n v="36"/>
    <s v="Male"/>
    <n v="3"/>
    <s v="Free"/>
    <s v="Unknown"/>
    <s v="Moderate"/>
    <n v="12169"/>
    <n v="48"/>
    <x v="3"/>
    <x v="1"/>
    <s v="Senior"/>
    <s v="Long"/>
    <s v="HighRisk"/>
  </r>
  <r>
    <n v="28"/>
    <s v="Male"/>
    <n v="2"/>
    <s v="Own"/>
    <s v="Little"/>
    <s v="Moderate"/>
    <n v="3060"/>
    <n v="48"/>
    <x v="0"/>
    <x v="1"/>
    <s v="Young"/>
    <s v="Long"/>
    <s v="Medium Risk"/>
  </r>
  <r>
    <n v="34"/>
    <s v="Male"/>
    <n v="1"/>
    <s v="Own"/>
    <s v="Little"/>
    <s v="Little"/>
    <n v="11998"/>
    <n v="30"/>
    <x v="6"/>
    <x v="1"/>
    <s v="Senior"/>
    <s v="Medium"/>
    <s v="HighRisk"/>
  </r>
  <r>
    <n v="32"/>
    <s v="Male"/>
    <n v="2"/>
    <s v="Own"/>
    <s v="Little"/>
    <s v="Unknown"/>
    <n v="2697"/>
    <n v="9"/>
    <x v="0"/>
    <x v="0"/>
    <s v="Senior"/>
    <s v="Short"/>
    <s v="Low Risk"/>
  </r>
  <r>
    <n v="26"/>
    <s v="Female"/>
    <n v="2"/>
    <s v="Own"/>
    <s v="Little"/>
    <s v="Unknown"/>
    <n v="2404"/>
    <n v="18"/>
    <x v="0"/>
    <x v="0"/>
    <s v="Young"/>
    <s v="Medium"/>
    <s v="Low Risk"/>
  </r>
  <r>
    <n v="49"/>
    <s v="Male"/>
    <n v="1"/>
    <s v="Own"/>
    <s v="Unknown"/>
    <s v="Little"/>
    <n v="1262"/>
    <n v="12"/>
    <x v="2"/>
    <x v="0"/>
    <s v="Senior"/>
    <s v="Medium"/>
    <s v="Low Risk"/>
  </r>
  <r>
    <n v="32"/>
    <s v="Female"/>
    <n v="2"/>
    <s v="Own"/>
    <s v="Little"/>
    <s v="Unknown"/>
    <n v="4611"/>
    <n v="6"/>
    <x v="2"/>
    <x v="0"/>
    <s v="Senior"/>
    <s v="Short"/>
    <s v="Medium Risk"/>
  </r>
  <r>
    <n v="29"/>
    <s v="Male"/>
    <n v="3"/>
    <s v="Rent"/>
    <s v="Moderate"/>
    <s v="Unknown"/>
    <n v="1901"/>
    <n v="24"/>
    <x v="0"/>
    <x v="0"/>
    <s v="Young"/>
    <s v="Medium"/>
    <s v="Low Risk"/>
  </r>
  <r>
    <n v="23"/>
    <s v="Male"/>
    <n v="2"/>
    <s v="Rent"/>
    <s v="rich"/>
    <s v="Unknown"/>
    <n v="3368"/>
    <n v="15"/>
    <x v="3"/>
    <x v="0"/>
    <s v="Young"/>
    <s v="Medium"/>
    <s v="Medium Risk"/>
  </r>
  <r>
    <n v="50"/>
    <s v="Male"/>
    <n v="2"/>
    <s v="Own"/>
    <s v="Little"/>
    <s v="Unknown"/>
    <n v="1574"/>
    <n v="12"/>
    <x v="2"/>
    <x v="0"/>
    <s v="Senior"/>
    <s v="Medium"/>
    <s v="Low Risk"/>
  </r>
  <r>
    <n v="49"/>
    <s v="Male"/>
    <n v="1"/>
    <s v="Own"/>
    <s v="Unknown"/>
    <s v="rich"/>
    <n v="1445"/>
    <n v="18"/>
    <x v="0"/>
    <x v="0"/>
    <s v="Senior"/>
    <s v="Medium"/>
    <s v="Low Risk"/>
  </r>
  <r>
    <n v="63"/>
    <s v="Male"/>
    <n v="2"/>
    <s v="Own"/>
    <s v="Unknown"/>
    <s v="Unknown"/>
    <n v="1520"/>
    <n v="15"/>
    <x v="2"/>
    <x v="0"/>
    <s v="Adult"/>
    <s v="Medium"/>
    <s v="Low Risk"/>
  </r>
  <r>
    <n v="37"/>
    <s v="Male"/>
    <n v="2"/>
    <s v="Own"/>
    <s v="Moderate"/>
    <s v="Moderate"/>
    <n v="3878"/>
    <n v="24"/>
    <x v="3"/>
    <x v="0"/>
    <s v="Senior"/>
    <s v="Medium"/>
    <s v="Medium Risk"/>
  </r>
  <r>
    <n v="35"/>
    <s v="Female"/>
    <n v="1"/>
    <s v="Own"/>
    <s v="Little"/>
    <s v="Little"/>
    <n v="10722"/>
    <n v="47"/>
    <x v="3"/>
    <x v="1"/>
    <s v="Senior"/>
    <s v="Long"/>
    <s v="HighRisk"/>
  </r>
  <r>
    <n v="26"/>
    <s v="Male"/>
    <n v="2"/>
    <s v="Own"/>
    <s v="Little"/>
    <s v="Little"/>
    <n v="4788"/>
    <n v="48"/>
    <x v="3"/>
    <x v="1"/>
    <s v="Young"/>
    <s v="Long"/>
    <s v="Medium Risk"/>
  </r>
  <r>
    <n v="31"/>
    <s v="Male"/>
    <n v="3"/>
    <s v="Free"/>
    <s v="Moderate"/>
    <s v="Moderate"/>
    <n v="7582"/>
    <n v="48"/>
    <x v="7"/>
    <x v="1"/>
    <s v="Senior"/>
    <s v="Long"/>
    <s v="HighRisk"/>
  </r>
  <r>
    <n v="49"/>
    <s v="Female"/>
    <n v="2"/>
    <s v="Own"/>
    <s v="Little"/>
    <s v="Moderate"/>
    <n v="1092"/>
    <n v="12"/>
    <x v="0"/>
    <x v="0"/>
    <s v="Senior"/>
    <s v="Medium"/>
    <s v="Low Risk"/>
  </r>
  <r>
    <n v="48"/>
    <s v="Male"/>
    <n v="2"/>
    <s v="Own"/>
    <s v="Little"/>
    <s v="Little"/>
    <n v="1024"/>
    <n v="24"/>
    <x v="0"/>
    <x v="0"/>
    <s v="Senior"/>
    <s v="Medium"/>
    <s v="Low Risk"/>
  </r>
  <r>
    <n v="26"/>
    <s v="Male"/>
    <n v="2"/>
    <s v="Own"/>
    <s v="Little"/>
    <s v="Unknown"/>
    <n v="1076"/>
    <n v="12"/>
    <x v="4"/>
    <x v="0"/>
    <s v="Young"/>
    <s v="Medium"/>
    <s v="Low Risk"/>
  </r>
  <r>
    <n v="28"/>
    <s v="Male"/>
    <n v="3"/>
    <s v="Rent"/>
    <s v="Little"/>
    <s v="Moderate"/>
    <n v="9398"/>
    <n v="36"/>
    <x v="3"/>
    <x v="1"/>
    <s v="Young"/>
    <s v="Long"/>
    <s v="HighRisk"/>
  </r>
  <r>
    <n v="44"/>
    <s v="Female"/>
    <n v="3"/>
    <s v="Free"/>
    <s v="Little"/>
    <s v="Little"/>
    <n v="6419"/>
    <n v="24"/>
    <x v="3"/>
    <x v="0"/>
    <s v="Senior"/>
    <s v="Medium"/>
    <s v="HighRisk"/>
  </r>
  <r>
    <n v="56"/>
    <s v="Male"/>
    <n v="2"/>
    <s v="Free"/>
    <s v="Little"/>
    <s v="rich"/>
    <n v="4796"/>
    <n v="42"/>
    <x v="3"/>
    <x v="1"/>
    <s v="Adult"/>
    <s v="Long"/>
    <s v="Medium Risk"/>
  </r>
  <r>
    <n v="46"/>
    <s v="Male"/>
    <n v="3"/>
    <s v="Own"/>
    <s v="Unknown"/>
    <s v="Unknown"/>
    <n v="7629"/>
    <n v="48"/>
    <x v="4"/>
    <x v="1"/>
    <s v="Senior"/>
    <s v="Long"/>
    <s v="HighRisk"/>
  </r>
  <r>
    <n v="26"/>
    <s v="Female"/>
    <n v="2"/>
    <s v="Own"/>
    <s v="Little"/>
    <s v="Moderate"/>
    <n v="9960"/>
    <n v="48"/>
    <x v="2"/>
    <x v="1"/>
    <s v="Young"/>
    <s v="Long"/>
    <s v="HighRisk"/>
  </r>
  <r>
    <n v="20"/>
    <s v="Female"/>
    <n v="2"/>
    <s v="Rent"/>
    <s v="Unknown"/>
    <s v="Unknown"/>
    <n v="4675"/>
    <n v="12"/>
    <x v="3"/>
    <x v="0"/>
    <s v="Young"/>
    <s v="Medium"/>
    <s v="Medium Risk"/>
  </r>
  <r>
    <n v="45"/>
    <s v="Male"/>
    <n v="1"/>
    <s v="Own"/>
    <s v="Unknown"/>
    <s v="Unknown"/>
    <n v="1287"/>
    <n v="10"/>
    <x v="3"/>
    <x v="0"/>
    <s v="Senior"/>
    <s v="Short"/>
    <s v="Low Risk"/>
  </r>
  <r>
    <n v="43"/>
    <s v="Male"/>
    <n v="2"/>
    <s v="Own"/>
    <s v="Little"/>
    <s v="Unknown"/>
    <n v="2515"/>
    <n v="18"/>
    <x v="2"/>
    <x v="0"/>
    <s v="Senior"/>
    <s v="Medium"/>
    <s v="Low Risk"/>
  </r>
  <r>
    <n v="32"/>
    <s v="Male"/>
    <n v="2"/>
    <s v="Own"/>
    <s v="rich"/>
    <s v="Moderate"/>
    <n v="2745"/>
    <n v="21"/>
    <x v="2"/>
    <x v="0"/>
    <s v="Senior"/>
    <s v="Medium"/>
    <s v="Low Risk"/>
  </r>
  <r>
    <n v="54"/>
    <s v="Female"/>
    <n v="0"/>
    <s v="Own"/>
    <s v="Little"/>
    <s v="Unknown"/>
    <n v="672"/>
    <n v="6"/>
    <x v="3"/>
    <x v="0"/>
    <s v="Adult"/>
    <s v="Short"/>
    <s v="Low Risk"/>
  </r>
  <r>
    <n v="42"/>
    <s v="Female"/>
    <n v="2"/>
    <s v="Own"/>
    <s v="Little"/>
    <s v="Moderate"/>
    <n v="3804"/>
    <n v="36"/>
    <x v="0"/>
    <x v="0"/>
    <s v="Senior"/>
    <s v="Long"/>
    <s v="Medium Risk"/>
  </r>
  <r>
    <n v="37"/>
    <s v="Male"/>
    <n v="1"/>
    <s v="Own"/>
    <s v="Unknown"/>
    <s v="rich"/>
    <n v="1344"/>
    <n v="24"/>
    <x v="3"/>
    <x v="0"/>
    <s v="Senior"/>
    <s v="Medium"/>
    <s v="Low Risk"/>
  </r>
  <r>
    <n v="49"/>
    <s v="Male"/>
    <n v="2"/>
    <s v="Own"/>
    <s v="Little"/>
    <s v="Little"/>
    <n v="1038"/>
    <n v="10"/>
    <x v="3"/>
    <x v="0"/>
    <s v="Senior"/>
    <s v="Short"/>
    <s v="Low Risk"/>
  </r>
  <r>
    <n v="44"/>
    <s v="Male"/>
    <n v="2"/>
    <s v="Free"/>
    <s v="Quite rich"/>
    <s v="Unknown"/>
    <n v="10127"/>
    <n v="48"/>
    <x v="3"/>
    <x v="1"/>
    <s v="Senior"/>
    <s v="Long"/>
    <s v="HighRisk"/>
  </r>
  <r>
    <n v="33"/>
    <s v="Male"/>
    <n v="2"/>
    <s v="Own"/>
    <s v="rich"/>
    <s v="Unknown"/>
    <n v="1543"/>
    <n v="6"/>
    <x v="2"/>
    <x v="0"/>
    <s v="Senior"/>
    <s v="Short"/>
    <s v="Low Risk"/>
  </r>
  <r>
    <n v="24"/>
    <s v="Female"/>
    <n v="1"/>
    <s v="Rent"/>
    <s v="Unknown"/>
    <s v="Unknown"/>
    <n v="4811"/>
    <n v="30"/>
    <x v="3"/>
    <x v="2"/>
    <s v="Young"/>
    <s v="Medium"/>
    <s v="Medium Risk"/>
  </r>
  <r>
    <n v="33"/>
    <s v="Male"/>
    <n v="1"/>
    <s v="Own"/>
    <s v="Moderate"/>
    <s v="Little"/>
    <n v="727"/>
    <n v="12"/>
    <x v="0"/>
    <x v="0"/>
    <s v="Senior"/>
    <s v="Medium"/>
    <s v="Low Risk"/>
  </r>
  <r>
    <n v="24"/>
    <s v="Female"/>
    <n v="2"/>
    <s v="Own"/>
    <s v="Little"/>
    <s v="Moderate"/>
    <n v="1237"/>
    <n v="8"/>
    <x v="2"/>
    <x v="0"/>
    <s v="Young"/>
    <s v="Short"/>
    <s v="Low Risk"/>
  </r>
  <r>
    <n v="22"/>
    <s v="Male"/>
    <n v="1"/>
    <s v="Rent"/>
    <s v="Little"/>
    <s v="Moderate"/>
    <n v="276"/>
    <n v="9"/>
    <x v="3"/>
    <x v="0"/>
    <s v="Young"/>
    <s v="Short"/>
    <s v="Low Risk"/>
  </r>
  <r>
    <n v="40"/>
    <s v="Male"/>
    <n v="0"/>
    <s v="Free"/>
    <s v="Unknown"/>
    <s v="Moderate"/>
    <n v="5381"/>
    <n v="48"/>
    <x v="7"/>
    <x v="1"/>
    <s v="Senior"/>
    <s v="Long"/>
    <s v="Medium Risk"/>
  </r>
  <r>
    <n v="25"/>
    <s v="Male"/>
    <n v="2"/>
    <s v="Own"/>
    <s v="Moderate"/>
    <s v="Unknown"/>
    <n v="5511"/>
    <n v="24"/>
    <x v="2"/>
    <x v="0"/>
    <s v="Young"/>
    <s v="Medium"/>
    <s v="Medium Risk"/>
  </r>
  <r>
    <n v="26"/>
    <s v="Female"/>
    <n v="2"/>
    <s v="Own"/>
    <s v="Little"/>
    <s v="rich"/>
    <n v="3749"/>
    <n v="24"/>
    <x v="2"/>
    <x v="0"/>
    <s v="Young"/>
    <s v="Medium"/>
    <s v="Medium Risk"/>
  </r>
  <r>
    <n v="25"/>
    <s v="Male"/>
    <n v="1"/>
    <s v="Own"/>
    <s v="Little"/>
    <s v="Moderate"/>
    <n v="685"/>
    <n v="12"/>
    <x v="3"/>
    <x v="0"/>
    <s v="Young"/>
    <s v="Medium"/>
    <s v="Low Risk"/>
  </r>
  <r>
    <n v="29"/>
    <s v="Male"/>
    <n v="1"/>
    <s v="Own"/>
    <s v="Unknown"/>
    <s v="rich"/>
    <n v="1494"/>
    <n v="4"/>
    <x v="3"/>
    <x v="0"/>
    <s v="Young"/>
    <s v="Short"/>
    <s v="Low Risk"/>
  </r>
  <r>
    <n v="31"/>
    <s v="Male"/>
    <n v="2"/>
    <s v="Own"/>
    <s v="Little"/>
    <s v="Little"/>
    <n v="2746"/>
    <n v="36"/>
    <x v="2"/>
    <x v="0"/>
    <s v="Senior"/>
    <s v="Long"/>
    <s v="Low Risk"/>
  </r>
  <r>
    <n v="38"/>
    <s v="Male"/>
    <n v="1"/>
    <s v="Own"/>
    <s v="Little"/>
    <s v="Little"/>
    <n v="708"/>
    <n v="12"/>
    <x v="2"/>
    <x v="0"/>
    <s v="Senior"/>
    <s v="Medium"/>
    <s v="Low Risk"/>
  </r>
  <r>
    <n v="48"/>
    <s v="Female"/>
    <n v="1"/>
    <s v="Own"/>
    <s v="Unknown"/>
    <s v="Moderate"/>
    <n v="4351"/>
    <n v="24"/>
    <x v="2"/>
    <x v="0"/>
    <s v="Senior"/>
    <s v="Medium"/>
    <s v="Medium Risk"/>
  </r>
  <r>
    <n v="32"/>
    <s v="Male"/>
    <n v="2"/>
    <s v="Own"/>
    <s v="Little"/>
    <s v="Unknown"/>
    <n v="701"/>
    <n v="12"/>
    <x v="1"/>
    <x v="0"/>
    <s v="Senior"/>
    <s v="Medium"/>
    <s v="Low Risk"/>
  </r>
  <r>
    <n v="27"/>
    <s v="Female"/>
    <n v="1"/>
    <s v="Own"/>
    <s v="Little"/>
    <s v="Little"/>
    <n v="3643"/>
    <n v="15"/>
    <x v="2"/>
    <x v="0"/>
    <s v="Young"/>
    <s v="Medium"/>
    <s v="Medium Risk"/>
  </r>
  <r>
    <n v="28"/>
    <s v="Male"/>
    <n v="3"/>
    <s v="Own"/>
    <s v="Little"/>
    <s v="Moderate"/>
    <n v="4249"/>
    <n v="30"/>
    <x v="3"/>
    <x v="2"/>
    <s v="Young"/>
    <s v="Medium"/>
    <s v="Medium Risk"/>
  </r>
  <r>
    <n v="32"/>
    <s v="Male"/>
    <n v="2"/>
    <s v="Own"/>
    <s v="Little"/>
    <s v="Little"/>
    <n v="1938"/>
    <n v="24"/>
    <x v="0"/>
    <x v="0"/>
    <s v="Senior"/>
    <s v="Medium"/>
    <s v="Low Risk"/>
  </r>
  <r>
    <n v="34"/>
    <s v="Male"/>
    <n v="3"/>
    <s v="Free"/>
    <s v="Little"/>
    <s v="Little"/>
    <n v="2910"/>
    <n v="24"/>
    <x v="3"/>
    <x v="0"/>
    <s v="Senior"/>
    <s v="Medium"/>
    <s v="Low Risk"/>
  </r>
  <r>
    <n v="28"/>
    <s v="Male"/>
    <n v="2"/>
    <s v="Own"/>
    <s v="rich"/>
    <s v="Little"/>
    <n v="2659"/>
    <n v="18"/>
    <x v="2"/>
    <x v="0"/>
    <s v="Young"/>
    <s v="Medium"/>
    <s v="Low Risk"/>
  </r>
  <r>
    <n v="36"/>
    <s v="Female"/>
    <n v="2"/>
    <s v="Own"/>
    <s v="Little"/>
    <s v="Unknown"/>
    <n v="1028"/>
    <n v="18"/>
    <x v="3"/>
    <x v="0"/>
    <s v="Senior"/>
    <s v="Medium"/>
    <s v="Low Risk"/>
  </r>
  <r>
    <n v="39"/>
    <s v="Male"/>
    <n v="1"/>
    <s v="Own"/>
    <s v="Little"/>
    <s v="Little"/>
    <n v="3398"/>
    <n v="8"/>
    <x v="3"/>
    <x v="0"/>
    <s v="Senior"/>
    <s v="Short"/>
    <s v="Medium Risk"/>
  </r>
  <r>
    <n v="49"/>
    <s v="Male"/>
    <n v="2"/>
    <s v="Rent"/>
    <s v="Unknown"/>
    <s v="Unknown"/>
    <n v="5801"/>
    <n v="12"/>
    <x v="2"/>
    <x v="0"/>
    <s v="Senior"/>
    <s v="Medium"/>
    <s v="Medium Risk"/>
  </r>
  <r>
    <n v="34"/>
    <s v="Female"/>
    <n v="2"/>
    <s v="Own"/>
    <s v="rich"/>
    <s v="Unknown"/>
    <n v="1525"/>
    <n v="24"/>
    <x v="3"/>
    <x v="0"/>
    <s v="Senior"/>
    <s v="Medium"/>
    <s v="Low Risk"/>
  </r>
  <r>
    <n v="31"/>
    <s v="Male"/>
    <n v="2"/>
    <s v="Own"/>
    <s v="Little"/>
    <s v="rich"/>
    <n v="4473"/>
    <n v="36"/>
    <x v="0"/>
    <x v="2"/>
    <s v="Senior"/>
    <s v="Long"/>
    <s v="Medium Risk"/>
  </r>
  <r>
    <n v="28"/>
    <s v="Male"/>
    <n v="2"/>
    <s v="Own"/>
    <s v="Little"/>
    <s v="Moderate"/>
    <n v="1068"/>
    <n v="6"/>
    <x v="0"/>
    <x v="0"/>
    <s v="Young"/>
    <s v="Short"/>
    <s v="Low Risk"/>
  </r>
  <r>
    <n v="75"/>
    <s v="Male"/>
    <n v="3"/>
    <s v="Free"/>
    <s v="Little"/>
    <s v="Little"/>
    <n v="6615"/>
    <n v="24"/>
    <x v="3"/>
    <x v="0"/>
    <s v="Adult"/>
    <s v="Medium"/>
    <s v="HighRisk"/>
  </r>
  <r>
    <n v="30"/>
    <s v="Female"/>
    <n v="2"/>
    <s v="Own"/>
    <s v="Moderate"/>
    <s v="Unknown"/>
    <n v="1864"/>
    <n v="18"/>
    <x v="1"/>
    <x v="0"/>
    <s v="Senior"/>
    <s v="Medium"/>
    <s v="Low Risk"/>
  </r>
  <r>
    <n v="24"/>
    <s v="Female"/>
    <n v="3"/>
    <s v="Own"/>
    <s v="Moderate"/>
    <s v="Moderate"/>
    <n v="7408"/>
    <n v="60"/>
    <x v="3"/>
    <x v="1"/>
    <s v="Young"/>
    <s v="Long"/>
    <s v="HighRisk"/>
  </r>
  <r>
    <n v="24"/>
    <s v="Female"/>
    <n v="1"/>
    <s v="Rent"/>
    <s v="Moderate"/>
    <s v="Unknown"/>
    <n v="11590"/>
    <n v="48"/>
    <x v="3"/>
    <x v="1"/>
    <s v="Young"/>
    <s v="Long"/>
    <s v="HighRisk"/>
  </r>
  <r>
    <n v="23"/>
    <s v="Male"/>
    <n v="2"/>
    <s v="Rent"/>
    <s v="Little"/>
    <s v="Little"/>
    <n v="4110"/>
    <n v="24"/>
    <x v="2"/>
    <x v="0"/>
    <s v="Young"/>
    <s v="Medium"/>
    <s v="Medium Risk"/>
  </r>
  <r>
    <n v="44"/>
    <s v="Male"/>
    <n v="3"/>
    <s v="Rent"/>
    <s v="Little"/>
    <s v="Little"/>
    <n v="3384"/>
    <n v="6"/>
    <x v="2"/>
    <x v="0"/>
    <s v="Senior"/>
    <s v="Short"/>
    <s v="Medium Risk"/>
  </r>
  <r>
    <n v="23"/>
    <s v="Female"/>
    <n v="1"/>
    <s v="Own"/>
    <s v="Little"/>
    <s v="Moderate"/>
    <n v="2101"/>
    <n v="13"/>
    <x v="0"/>
    <x v="0"/>
    <s v="Young"/>
    <s v="Medium"/>
    <s v="Low Risk"/>
  </r>
  <r>
    <n v="24"/>
    <s v="Female"/>
    <n v="2"/>
    <s v="Rent"/>
    <s v="Unknown"/>
    <s v="Little"/>
    <n v="1275"/>
    <n v="15"/>
    <x v="5"/>
    <x v="0"/>
    <s v="Young"/>
    <s v="Medium"/>
    <s v="Low Risk"/>
  </r>
  <r>
    <n v="28"/>
    <s v="Male"/>
    <n v="2"/>
    <s v="Own"/>
    <s v="Little"/>
    <s v="Little"/>
    <n v="4169"/>
    <n v="24"/>
    <x v="2"/>
    <x v="0"/>
    <s v="Young"/>
    <s v="Medium"/>
    <s v="Medium Risk"/>
  </r>
  <r>
    <n v="31"/>
    <s v="Male"/>
    <n v="1"/>
    <s v="Own"/>
    <s v="Little"/>
    <s v="Moderate"/>
    <n v="1521"/>
    <n v="10"/>
    <x v="2"/>
    <x v="0"/>
    <s v="Senior"/>
    <s v="Short"/>
    <s v="Low Risk"/>
  </r>
  <r>
    <n v="24"/>
    <s v="Female"/>
    <n v="2"/>
    <s v="Free"/>
    <s v="Little"/>
    <s v="Moderate"/>
    <n v="5743"/>
    <n v="24"/>
    <x v="1"/>
    <x v="0"/>
    <s v="Young"/>
    <s v="Medium"/>
    <s v="Medium Risk"/>
  </r>
  <r>
    <n v="26"/>
    <s v="Female"/>
    <n v="1"/>
    <s v="Rent"/>
    <s v="Little"/>
    <s v="Little"/>
    <n v="3599"/>
    <n v="21"/>
    <x v="2"/>
    <x v="0"/>
    <s v="Young"/>
    <s v="Medium"/>
    <s v="Medium Risk"/>
  </r>
  <r>
    <n v="25"/>
    <s v="Male"/>
    <n v="2"/>
    <s v="Rent"/>
    <s v="Quite rich"/>
    <s v="Moderate"/>
    <n v="3213"/>
    <n v="18"/>
    <x v="0"/>
    <x v="0"/>
    <s v="Young"/>
    <s v="Medium"/>
    <s v="Medium Risk"/>
  </r>
  <r>
    <n v="33"/>
    <s v="Male"/>
    <n v="3"/>
    <s v="Own"/>
    <s v="Little"/>
    <s v="Moderate"/>
    <n v="4439"/>
    <n v="18"/>
    <x v="4"/>
    <x v="0"/>
    <s v="Senior"/>
    <s v="Medium"/>
    <s v="Medium Risk"/>
  </r>
  <r>
    <n v="37"/>
    <s v="Male"/>
    <n v="1"/>
    <s v="Own"/>
    <s v="Little"/>
    <s v="rich"/>
    <n v="3949"/>
    <n v="10"/>
    <x v="3"/>
    <x v="0"/>
    <s v="Senior"/>
    <s v="Short"/>
    <s v="Medium Risk"/>
  </r>
  <r>
    <n v="43"/>
    <s v="Female"/>
    <n v="1"/>
    <s v="Own"/>
    <s v="Little"/>
    <s v="Unknown"/>
    <n v="1459"/>
    <n v="15"/>
    <x v="0"/>
    <x v="0"/>
    <s v="Senior"/>
    <s v="Medium"/>
    <s v="Low Risk"/>
  </r>
  <r>
    <n v="23"/>
    <s v="Male"/>
    <n v="2"/>
    <s v="Own"/>
    <s v="Little"/>
    <s v="Moderate"/>
    <n v="882"/>
    <n v="13"/>
    <x v="0"/>
    <x v="0"/>
    <s v="Young"/>
    <s v="Medium"/>
    <s v="Low Risk"/>
  </r>
  <r>
    <n v="23"/>
    <s v="Female"/>
    <n v="0"/>
    <s v="Rent"/>
    <s v="Quite rich"/>
    <s v="Moderate"/>
    <n v="3758"/>
    <n v="24"/>
    <x v="0"/>
    <x v="0"/>
    <s v="Young"/>
    <s v="Medium"/>
    <s v="Medium Risk"/>
  </r>
  <r>
    <n v="34"/>
    <s v="Male"/>
    <n v="1"/>
    <s v="Own"/>
    <s v="Moderate"/>
    <s v="Unknown"/>
    <n v="1743"/>
    <n v="6"/>
    <x v="4"/>
    <x v="0"/>
    <s v="Senior"/>
    <s v="Short"/>
    <s v="Low Risk"/>
  </r>
  <r>
    <n v="32"/>
    <s v="Male"/>
    <n v="2"/>
    <s v="Free"/>
    <s v="rich"/>
    <s v="Moderate"/>
    <n v="1136"/>
    <n v="9"/>
    <x v="1"/>
    <x v="0"/>
    <s v="Senior"/>
    <s v="Short"/>
    <s v="Low Risk"/>
  </r>
  <r>
    <n v="23"/>
    <s v="Female"/>
    <n v="2"/>
    <s v="Rent"/>
    <s v="Little"/>
    <s v="Unknown"/>
    <n v="1236"/>
    <n v="9"/>
    <x v="5"/>
    <x v="0"/>
    <s v="Young"/>
    <s v="Short"/>
    <s v="Low Risk"/>
  </r>
  <r>
    <n v="29"/>
    <s v="Female"/>
    <n v="2"/>
    <s v="Own"/>
    <s v="Little"/>
    <s v="Moderate"/>
    <n v="959"/>
    <n v="9"/>
    <x v="2"/>
    <x v="0"/>
    <s v="Young"/>
    <s v="Short"/>
    <s v="Low Risk"/>
  </r>
  <r>
    <n v="38"/>
    <s v="Male"/>
    <n v="3"/>
    <s v="Own"/>
    <s v="Unknown"/>
    <s v="Unknown"/>
    <n v="3229"/>
    <n v="18"/>
    <x v="3"/>
    <x v="0"/>
    <s v="Senior"/>
    <s v="Medium"/>
    <s v="Medium Risk"/>
  </r>
  <r>
    <n v="28"/>
    <s v="Male"/>
    <n v="2"/>
    <s v="Rent"/>
    <s v="Little"/>
    <s v="Little"/>
    <n v="6199"/>
    <n v="12"/>
    <x v="0"/>
    <x v="0"/>
    <s v="Young"/>
    <s v="Medium"/>
    <s v="HighRisk"/>
  </r>
  <r>
    <n v="46"/>
    <s v="Male"/>
    <n v="2"/>
    <s v="Free"/>
    <s v="Quite rich"/>
    <s v="Unknown"/>
    <n v="727"/>
    <n v="10"/>
    <x v="1"/>
    <x v="0"/>
    <s v="Senior"/>
    <s v="Short"/>
    <s v="Low Risk"/>
  </r>
  <r>
    <n v="23"/>
    <s v="Male"/>
    <n v="1"/>
    <s v="Own"/>
    <s v="Little"/>
    <s v="Moderate"/>
    <n v="1246"/>
    <n v="24"/>
    <x v="3"/>
    <x v="0"/>
    <s v="Young"/>
    <s v="Medium"/>
    <s v="Low Risk"/>
  </r>
  <r>
    <n v="49"/>
    <s v="Male"/>
    <n v="2"/>
    <s v="Own"/>
    <s v="Unknown"/>
    <s v="Unknown"/>
    <n v="2331"/>
    <n v="12"/>
    <x v="0"/>
    <x v="0"/>
    <s v="Senior"/>
    <s v="Medium"/>
    <s v="Low Risk"/>
  </r>
  <r>
    <n v="26"/>
    <s v="Male"/>
    <n v="3"/>
    <s v="Own"/>
    <s v="Little"/>
    <s v="Unknown"/>
    <n v="4463"/>
    <n v="36"/>
    <x v="0"/>
    <x v="2"/>
    <s v="Young"/>
    <s v="Long"/>
    <s v="Medium Risk"/>
  </r>
  <r>
    <n v="28"/>
    <s v="Male"/>
    <n v="2"/>
    <s v="Own"/>
    <s v="Little"/>
    <s v="Unknown"/>
    <n v="776"/>
    <n v="12"/>
    <x v="0"/>
    <x v="0"/>
    <s v="Young"/>
    <s v="Medium"/>
    <s v="Low Risk"/>
  </r>
  <r>
    <n v="23"/>
    <s v="Female"/>
    <n v="2"/>
    <s v="Rent"/>
    <s v="Little"/>
    <s v="Little"/>
    <n v="2406"/>
    <n v="30"/>
    <x v="2"/>
    <x v="0"/>
    <s v="Young"/>
    <s v="Medium"/>
    <s v="Low Risk"/>
  </r>
  <r>
    <n v="61"/>
    <s v="Male"/>
    <n v="2"/>
    <s v="Free"/>
    <s v="Unknown"/>
    <s v="Moderate"/>
    <n v="1239"/>
    <n v="18"/>
    <x v="1"/>
    <x v="0"/>
    <s v="Adult"/>
    <s v="Medium"/>
    <s v="Low Risk"/>
  </r>
  <r>
    <n v="37"/>
    <s v="Male"/>
    <n v="3"/>
    <s v="Own"/>
    <s v="Unknown"/>
    <s v="rich"/>
    <n v="3399"/>
    <n v="12"/>
    <x v="0"/>
    <x v="0"/>
    <s v="Senior"/>
    <s v="Medium"/>
    <s v="Medium Risk"/>
  </r>
  <r>
    <n v="36"/>
    <s v="Female"/>
    <n v="2"/>
    <s v="Own"/>
    <s v="Little"/>
    <s v="rich"/>
    <n v="2247"/>
    <n v="12"/>
    <x v="3"/>
    <x v="0"/>
    <s v="Senior"/>
    <s v="Medium"/>
    <s v="Low Risk"/>
  </r>
  <r>
    <n v="21"/>
    <s v="Male"/>
    <n v="2"/>
    <s v="Rent"/>
    <s v="Little"/>
    <s v="Unknown"/>
    <n v="1766"/>
    <n v="6"/>
    <x v="2"/>
    <x v="0"/>
    <s v="Young"/>
    <s v="Short"/>
    <s v="Low Risk"/>
  </r>
  <r>
    <n v="25"/>
    <s v="Male"/>
    <n v="0"/>
    <s v="Own"/>
    <s v="Little"/>
    <s v="Little"/>
    <n v="2473"/>
    <n v="18"/>
    <x v="2"/>
    <x v="0"/>
    <s v="Young"/>
    <s v="Medium"/>
    <s v="Low Risk"/>
  </r>
  <r>
    <n v="36"/>
    <s v="Male"/>
    <n v="2"/>
    <s v="Own"/>
    <s v="Little"/>
    <s v="Unknown"/>
    <n v="1542"/>
    <n v="12"/>
    <x v="4"/>
    <x v="0"/>
    <s v="Senior"/>
    <s v="Medium"/>
    <s v="Low Risk"/>
  </r>
  <r>
    <n v="27"/>
    <s v="Male"/>
    <n v="2"/>
    <s v="Own"/>
    <s v="Little"/>
    <s v="Unknown"/>
    <n v="3850"/>
    <n v="18"/>
    <x v="3"/>
    <x v="0"/>
    <s v="Young"/>
    <s v="Medium"/>
    <s v="Medium Risk"/>
  </r>
  <r>
    <n v="22"/>
    <s v="Female"/>
    <n v="2"/>
    <s v="Rent"/>
    <s v="Little"/>
    <s v="Little"/>
    <n v="3650"/>
    <n v="18"/>
    <x v="2"/>
    <x v="0"/>
    <s v="Young"/>
    <s v="Medium"/>
    <s v="Medium Risk"/>
  </r>
  <r>
    <n v="42"/>
    <s v="Male"/>
    <n v="2"/>
    <s v="Own"/>
    <s v="Little"/>
    <s v="Little"/>
    <n v="3446"/>
    <n v="36"/>
    <x v="2"/>
    <x v="0"/>
    <s v="Senior"/>
    <s v="Long"/>
    <s v="Medium Risk"/>
  </r>
  <r>
    <n v="40"/>
    <s v="Female"/>
    <n v="2"/>
    <s v="Rent"/>
    <s v="Little"/>
    <s v="Moderate"/>
    <n v="3001"/>
    <n v="18"/>
    <x v="2"/>
    <x v="0"/>
    <s v="Senior"/>
    <s v="Medium"/>
    <s v="Medium Risk"/>
  </r>
  <r>
    <n v="36"/>
    <s v="Male"/>
    <n v="2"/>
    <s v="Own"/>
    <s v="Unknown"/>
    <s v="Unknown"/>
    <n v="3079"/>
    <n v="36"/>
    <x v="3"/>
    <x v="0"/>
    <s v="Senior"/>
    <s v="Long"/>
    <s v="Medium Risk"/>
  </r>
  <r>
    <n v="33"/>
    <s v="Male"/>
    <n v="2"/>
    <s v="Own"/>
    <s v="Little"/>
    <s v="Unknown"/>
    <n v="6070"/>
    <n v="18"/>
    <x v="0"/>
    <x v="0"/>
    <s v="Senior"/>
    <s v="Medium"/>
    <s v="HighRisk"/>
  </r>
  <r>
    <n v="23"/>
    <s v="Female"/>
    <n v="2"/>
    <s v="Rent"/>
    <s v="Little"/>
    <s v="Unknown"/>
    <n v="2146"/>
    <n v="10"/>
    <x v="2"/>
    <x v="0"/>
    <s v="Young"/>
    <s v="Short"/>
    <s v="Low Risk"/>
  </r>
  <r>
    <n v="63"/>
    <s v="Male"/>
    <n v="3"/>
    <s v="Free"/>
    <s v="Unknown"/>
    <s v="Unknown"/>
    <n v="13756"/>
    <n v="60"/>
    <x v="3"/>
    <x v="1"/>
    <s v="Adult"/>
    <s v="Long"/>
    <s v="HighRisk"/>
  </r>
  <r>
    <n v="60"/>
    <s v="Female"/>
    <n v="3"/>
    <s v="Free"/>
    <s v="Moderate"/>
    <s v="Moderate"/>
    <n v="14782"/>
    <n v="60"/>
    <x v="7"/>
    <x v="1"/>
    <s v="Adult"/>
    <s v="Long"/>
    <s v="HighRisk"/>
  </r>
  <r>
    <n v="37"/>
    <s v="Female"/>
    <n v="2"/>
    <s v="Rent"/>
    <s v="Little"/>
    <s v="Little"/>
    <n v="7685"/>
    <n v="48"/>
    <x v="4"/>
    <x v="1"/>
    <s v="Senior"/>
    <s v="Long"/>
    <s v="HighRisk"/>
  </r>
  <r>
    <n v="34"/>
    <s v="Male"/>
    <n v="2"/>
    <s v="Own"/>
    <s v="Little"/>
    <s v="Unknown"/>
    <n v="2320"/>
    <n v="18"/>
    <x v="0"/>
    <x v="0"/>
    <s v="Senior"/>
    <s v="Medium"/>
    <s v="Low Risk"/>
  </r>
  <r>
    <n v="36"/>
    <s v="Male"/>
    <n v="2"/>
    <s v="Free"/>
    <s v="Unknown"/>
    <s v="Unknown"/>
    <n v="846"/>
    <n v="7"/>
    <x v="0"/>
    <x v="0"/>
    <s v="Senior"/>
    <s v="Short"/>
    <s v="Low Risk"/>
  </r>
  <r>
    <n v="57"/>
    <s v="Male"/>
    <n v="3"/>
    <s v="Free"/>
    <s v="Little"/>
    <s v="Moderate"/>
    <n v="14318"/>
    <n v="36"/>
    <x v="3"/>
    <x v="1"/>
    <s v="Adult"/>
    <s v="Long"/>
    <s v="HighRisk"/>
  </r>
  <r>
    <n v="52"/>
    <s v="Female"/>
    <n v="1"/>
    <s v="Own"/>
    <s v="Moderate"/>
    <s v="Unknown"/>
    <n v="362"/>
    <n v="6"/>
    <x v="3"/>
    <x v="0"/>
    <s v="Adult"/>
    <s v="Short"/>
    <s v="Low Risk"/>
  </r>
  <r>
    <n v="39"/>
    <s v="Male"/>
    <n v="2"/>
    <s v="Own"/>
    <s v="Unknown"/>
    <s v="Little"/>
    <n v="2212"/>
    <n v="20"/>
    <x v="2"/>
    <x v="0"/>
    <s v="Senior"/>
    <s v="Medium"/>
    <s v="Low Risk"/>
  </r>
  <r>
    <n v="38"/>
    <s v="Female"/>
    <n v="3"/>
    <s v="Free"/>
    <s v="Little"/>
    <s v="Moderate"/>
    <n v="12976"/>
    <n v="18"/>
    <x v="3"/>
    <x v="1"/>
    <s v="Senior"/>
    <s v="Medium"/>
    <s v="HighRisk"/>
  </r>
  <r>
    <n v="25"/>
    <s v="Female"/>
    <n v="2"/>
    <s v="Rent"/>
    <s v="Unknown"/>
    <s v="Unknown"/>
    <n v="1283"/>
    <n v="22"/>
    <x v="3"/>
    <x v="0"/>
    <s v="Young"/>
    <s v="Medium"/>
    <s v="Low Risk"/>
  </r>
  <r>
    <n v="26"/>
    <s v="Male"/>
    <n v="2"/>
    <s v="Own"/>
    <s v="Little"/>
    <s v="rich"/>
    <n v="1330"/>
    <n v="12"/>
    <x v="3"/>
    <x v="0"/>
    <s v="Young"/>
    <s v="Medium"/>
    <s v="Low Risk"/>
  </r>
  <r>
    <n v="26"/>
    <s v="Male"/>
    <n v="1"/>
    <s v="Own"/>
    <s v="Moderate"/>
    <s v="Unknown"/>
    <n v="4272"/>
    <n v="30"/>
    <x v="4"/>
    <x v="2"/>
    <s v="Young"/>
    <s v="Medium"/>
    <s v="Medium Risk"/>
  </r>
  <r>
    <n v="25"/>
    <s v="Female"/>
    <n v="2"/>
    <s v="Own"/>
    <s v="Little"/>
    <s v="Unknown"/>
    <n v="2238"/>
    <n v="18"/>
    <x v="0"/>
    <x v="0"/>
    <s v="Young"/>
    <s v="Medium"/>
    <s v="Low Risk"/>
  </r>
  <r>
    <n v="21"/>
    <s v="Female"/>
    <n v="2"/>
    <s v="Rent"/>
    <s v="Unknown"/>
    <s v="Unknown"/>
    <n v="1126"/>
    <n v="18"/>
    <x v="0"/>
    <x v="0"/>
    <s v="Young"/>
    <s v="Medium"/>
    <s v="Low Risk"/>
  </r>
  <r>
    <n v="40"/>
    <s v="Male"/>
    <n v="3"/>
    <s v="Own"/>
    <s v="Little"/>
    <s v="Moderate"/>
    <n v="7374"/>
    <n v="18"/>
    <x v="2"/>
    <x v="1"/>
    <s v="Senior"/>
    <s v="Medium"/>
    <s v="HighRisk"/>
  </r>
  <r>
    <n v="27"/>
    <s v="Male"/>
    <n v="2"/>
    <s v="Own"/>
    <s v="Quite rich"/>
    <s v="Moderate"/>
    <n v="2326"/>
    <n v="15"/>
    <x v="4"/>
    <x v="0"/>
    <s v="Young"/>
    <s v="Medium"/>
    <s v="Low Risk"/>
  </r>
  <r>
    <n v="27"/>
    <s v="Female"/>
    <n v="2"/>
    <s v="Own"/>
    <s v="Little"/>
    <s v="Unknown"/>
    <n v="1449"/>
    <n v="9"/>
    <x v="4"/>
    <x v="0"/>
    <s v="Young"/>
    <s v="Short"/>
    <s v="Low Risk"/>
  </r>
  <r>
    <n v="30"/>
    <s v="Male"/>
    <n v="3"/>
    <s v="Own"/>
    <s v="Little"/>
    <s v="Unknown"/>
    <n v="1820"/>
    <n v="18"/>
    <x v="3"/>
    <x v="0"/>
    <s v="Senior"/>
    <s v="Medium"/>
    <s v="Low Risk"/>
  </r>
  <r>
    <n v="19"/>
    <s v="Female"/>
    <n v="1"/>
    <s v="Rent"/>
    <s v="rich"/>
    <s v="Moderate"/>
    <n v="983"/>
    <n v="12"/>
    <x v="2"/>
    <x v="0"/>
    <s v="Young"/>
    <s v="Medium"/>
    <s v="Low Risk"/>
  </r>
  <r>
    <n v="39"/>
    <s v="Male"/>
    <n v="3"/>
    <s v="Free"/>
    <s v="Little"/>
    <s v="Little"/>
    <n v="3249"/>
    <n v="36"/>
    <x v="3"/>
    <x v="0"/>
    <s v="Senior"/>
    <s v="Long"/>
    <s v="Medium Risk"/>
  </r>
  <r>
    <n v="31"/>
    <s v="Female"/>
    <n v="2"/>
    <s v="Own"/>
    <s v="Little"/>
    <s v="Little"/>
    <n v="1957"/>
    <n v="6"/>
    <x v="0"/>
    <x v="0"/>
    <s v="Senior"/>
    <s v="Short"/>
    <s v="Low Risk"/>
  </r>
  <r>
    <n v="31"/>
    <s v="Male"/>
    <n v="3"/>
    <s v="Own"/>
    <s v="Little"/>
    <s v="Unknown"/>
    <n v="2406"/>
    <n v="9"/>
    <x v="2"/>
    <x v="0"/>
    <s v="Senior"/>
    <s v="Short"/>
    <s v="Low Risk"/>
  </r>
  <r>
    <n v="32"/>
    <s v="Male"/>
    <n v="2"/>
    <s v="Rent"/>
    <s v="Moderate"/>
    <s v="Moderate"/>
    <n v="11760"/>
    <n v="39"/>
    <x v="1"/>
    <x v="1"/>
    <s v="Senior"/>
    <s v="Long"/>
    <s v="HighRisk"/>
  </r>
  <r>
    <n v="55"/>
    <s v="Female"/>
    <n v="3"/>
    <s v="Free"/>
    <s v="Little"/>
    <s v="Little"/>
    <n v="2578"/>
    <n v="12"/>
    <x v="2"/>
    <x v="0"/>
    <s v="Adult"/>
    <s v="Medium"/>
    <s v="Low Risk"/>
  </r>
  <r>
    <n v="46"/>
    <s v="Male"/>
    <n v="2"/>
    <s v="Own"/>
    <s v="Little"/>
    <s v="Little"/>
    <n v="2348"/>
    <n v="36"/>
    <x v="2"/>
    <x v="0"/>
    <s v="Senior"/>
    <s v="Long"/>
    <s v="Low Risk"/>
  </r>
  <r>
    <n v="46"/>
    <s v="Male"/>
    <n v="2"/>
    <s v="Rent"/>
    <s v="Little"/>
    <s v="Moderate"/>
    <n v="1223"/>
    <n v="12"/>
    <x v="3"/>
    <x v="0"/>
    <s v="Senior"/>
    <s v="Medium"/>
    <s v="Low Risk"/>
  </r>
  <r>
    <n v="43"/>
    <s v="Female"/>
    <n v="1"/>
    <s v="Own"/>
    <s v="rich"/>
    <s v="Unknown"/>
    <n v="1516"/>
    <n v="24"/>
    <x v="0"/>
    <x v="0"/>
    <s v="Senior"/>
    <s v="Medium"/>
    <s v="Low Risk"/>
  </r>
  <r>
    <n v="39"/>
    <s v="Male"/>
    <n v="2"/>
    <s v="Own"/>
    <s v="Little"/>
    <s v="Unknown"/>
    <n v="1473"/>
    <n v="18"/>
    <x v="0"/>
    <x v="0"/>
    <s v="Senior"/>
    <s v="Medium"/>
    <s v="Low Risk"/>
  </r>
  <r>
    <n v="28"/>
    <s v="Male"/>
    <n v="2"/>
    <s v="Own"/>
    <s v="Unknown"/>
    <s v="Moderate"/>
    <n v="1887"/>
    <n v="18"/>
    <x v="4"/>
    <x v="0"/>
    <s v="Young"/>
    <s v="Medium"/>
    <s v="Low Risk"/>
  </r>
  <r>
    <n v="27"/>
    <s v="Male"/>
    <n v="2"/>
    <s v="Own"/>
    <s v="Little"/>
    <s v="Unknown"/>
    <n v="8648"/>
    <n v="24"/>
    <x v="4"/>
    <x v="1"/>
    <s v="Young"/>
    <s v="Medium"/>
    <s v="HighRisk"/>
  </r>
  <r>
    <n v="27"/>
    <s v="Male"/>
    <n v="1"/>
    <s v="Own"/>
    <s v="Little"/>
    <s v="Unknown"/>
    <n v="802"/>
    <n v="14"/>
    <x v="3"/>
    <x v="0"/>
    <s v="Young"/>
    <s v="Medium"/>
    <s v="Low Risk"/>
  </r>
  <r>
    <n v="43"/>
    <s v="Male"/>
    <n v="2"/>
    <s v="Own"/>
    <s v="Unknown"/>
    <s v="Moderate"/>
    <n v="2899"/>
    <n v="18"/>
    <x v="3"/>
    <x v="0"/>
    <s v="Senior"/>
    <s v="Medium"/>
    <s v="Low Risk"/>
  </r>
  <r>
    <n v="22"/>
    <s v="Male"/>
    <n v="2"/>
    <s v="Own"/>
    <s v="Little"/>
    <s v="Moderate"/>
    <n v="2039"/>
    <n v="24"/>
    <x v="0"/>
    <x v="0"/>
    <s v="Young"/>
    <s v="Medium"/>
    <s v="Low Risk"/>
  </r>
  <r>
    <n v="43"/>
    <s v="Male"/>
    <n v="2"/>
    <s v="Own"/>
    <s v="Unknown"/>
    <s v="Unknown"/>
    <n v="2197"/>
    <n v="24"/>
    <x v="3"/>
    <x v="0"/>
    <s v="Senior"/>
    <s v="Medium"/>
    <s v="Low Risk"/>
  </r>
  <r>
    <n v="27"/>
    <s v="Male"/>
    <n v="2"/>
    <s v="Own"/>
    <s v="Little"/>
    <s v="Little"/>
    <n v="1053"/>
    <n v="15"/>
    <x v="0"/>
    <x v="0"/>
    <s v="Young"/>
    <s v="Medium"/>
    <s v="Low Risk"/>
  </r>
  <r>
    <n v="26"/>
    <s v="Male"/>
    <n v="3"/>
    <s v="Own"/>
    <s v="Quite rich"/>
    <s v="Unknown"/>
    <n v="3235"/>
    <n v="24"/>
    <x v="0"/>
    <x v="0"/>
    <s v="Young"/>
    <s v="Medium"/>
    <s v="Medium Risk"/>
  </r>
  <r>
    <n v="28"/>
    <s v="Male"/>
    <n v="2"/>
    <s v="Own"/>
    <s v="Quite rich"/>
    <s v="rich"/>
    <n v="939"/>
    <n v="12"/>
    <x v="3"/>
    <x v="0"/>
    <s v="Young"/>
    <s v="Medium"/>
    <s v="Low Risk"/>
  </r>
  <r>
    <n v="20"/>
    <s v="Female"/>
    <n v="2"/>
    <s v="Own"/>
    <s v="Little"/>
    <s v="Moderate"/>
    <n v="1967"/>
    <n v="24"/>
    <x v="0"/>
    <x v="0"/>
    <s v="Young"/>
    <s v="Medium"/>
    <s v="Low Risk"/>
  </r>
  <r>
    <n v="35"/>
    <s v="Male"/>
    <n v="3"/>
    <s v="Own"/>
    <s v="Little"/>
    <s v="Unknown"/>
    <n v="7253"/>
    <n v="33"/>
    <x v="3"/>
    <x v="1"/>
    <s v="Senior"/>
    <s v="Medium"/>
    <s v="HighRisk"/>
  </r>
  <r>
    <n v="42"/>
    <s v="Male"/>
    <n v="3"/>
    <s v="Own"/>
    <s v="Little"/>
    <s v="Unknown"/>
    <n v="2292"/>
    <n v="12"/>
    <x v="4"/>
    <x v="0"/>
    <s v="Senior"/>
    <s v="Medium"/>
    <s v="Low Risk"/>
  </r>
  <r>
    <n v="40"/>
    <s v="Male"/>
    <n v="1"/>
    <s v="Rent"/>
    <s v="Quite rich"/>
    <s v="Unknown"/>
    <n v="1597"/>
    <n v="10"/>
    <x v="3"/>
    <x v="0"/>
    <s v="Senior"/>
    <s v="Short"/>
    <s v="Low Risk"/>
  </r>
  <r>
    <n v="35"/>
    <s v="Female"/>
    <n v="2"/>
    <s v="Own"/>
    <s v="Unknown"/>
    <s v="Little"/>
    <n v="1381"/>
    <n v="24"/>
    <x v="3"/>
    <x v="0"/>
    <s v="Senior"/>
    <s v="Medium"/>
    <s v="Low Risk"/>
  </r>
  <r>
    <n v="35"/>
    <s v="Male"/>
    <n v="2"/>
    <s v="Own"/>
    <s v="Little"/>
    <s v="Unknown"/>
    <n v="5842"/>
    <n v="36"/>
    <x v="3"/>
    <x v="2"/>
    <s v="Senior"/>
    <s v="Long"/>
    <s v="Medium Risk"/>
  </r>
  <r>
    <n v="33"/>
    <s v="Male"/>
    <n v="1"/>
    <s v="Own"/>
    <s v="Little"/>
    <s v="Little"/>
    <n v="2579"/>
    <n v="12"/>
    <x v="3"/>
    <x v="0"/>
    <s v="Senior"/>
    <s v="Medium"/>
    <s v="Low Risk"/>
  </r>
  <r>
    <n v="23"/>
    <s v="Female"/>
    <n v="2"/>
    <s v="Rent"/>
    <s v="Unknown"/>
    <s v="Little"/>
    <n v="8471"/>
    <n v="18"/>
    <x v="1"/>
    <x v="1"/>
    <s v="Young"/>
    <s v="Medium"/>
    <s v="HighRisk"/>
  </r>
  <r>
    <n v="31"/>
    <s v="Female"/>
    <n v="3"/>
    <s v="Own"/>
    <s v="Quite rich"/>
    <s v="Unknown"/>
    <n v="2782"/>
    <n v="21"/>
    <x v="3"/>
    <x v="0"/>
    <s v="Senior"/>
    <s v="Medium"/>
    <s v="Low Risk"/>
  </r>
  <r>
    <n v="33"/>
    <s v="Female"/>
    <n v="2"/>
    <s v="Own"/>
    <s v="Unknown"/>
    <s v="Moderate"/>
    <n v="1042"/>
    <n v="18"/>
    <x v="3"/>
    <x v="0"/>
    <s v="Senior"/>
    <s v="Medium"/>
    <s v="Low Risk"/>
  </r>
  <r>
    <n v="20"/>
    <s v="Female"/>
    <n v="2"/>
    <s v="Rent"/>
    <s v="rich"/>
    <s v="Unknown"/>
    <n v="3186"/>
    <n v="15"/>
    <x v="3"/>
    <x v="0"/>
    <s v="Young"/>
    <s v="Medium"/>
    <s v="Medium Risk"/>
  </r>
  <r>
    <n v="30"/>
    <s v="Male"/>
    <n v="2"/>
    <s v="Own"/>
    <s v="Unknown"/>
    <s v="Moderate"/>
    <n v="2028"/>
    <n v="12"/>
    <x v="3"/>
    <x v="0"/>
    <s v="Senior"/>
    <s v="Medium"/>
    <s v="Low Risk"/>
  </r>
  <r>
    <n v="47"/>
    <s v="Male"/>
    <n v="1"/>
    <s v="Own"/>
    <s v="Little"/>
    <s v="Moderate"/>
    <n v="958"/>
    <n v="12"/>
    <x v="3"/>
    <x v="0"/>
    <s v="Senior"/>
    <s v="Medium"/>
    <s v="Low Risk"/>
  </r>
  <r>
    <n v="34"/>
    <s v="Male"/>
    <n v="3"/>
    <s v="Own"/>
    <s v="Moderate"/>
    <s v="Unknown"/>
    <n v="1591"/>
    <n v="21"/>
    <x v="2"/>
    <x v="0"/>
    <s v="Senior"/>
    <s v="Medium"/>
    <s v="Low Risk"/>
  </r>
  <r>
    <n v="25"/>
    <s v="Female"/>
    <n v="2"/>
    <s v="Own"/>
    <s v="Unknown"/>
    <s v="Moderate"/>
    <n v="2762"/>
    <n v="12"/>
    <x v="2"/>
    <x v="0"/>
    <s v="Young"/>
    <s v="Medium"/>
    <s v="Low Risk"/>
  </r>
  <r>
    <n v="21"/>
    <s v="Male"/>
    <n v="2"/>
    <s v="Rent"/>
    <s v="Little"/>
    <s v="Moderate"/>
    <n v="2779"/>
    <n v="18"/>
    <x v="3"/>
    <x v="0"/>
    <s v="Young"/>
    <s v="Medium"/>
    <s v="Low Risk"/>
  </r>
  <r>
    <n v="29"/>
    <s v="Male"/>
    <n v="2"/>
    <s v="Own"/>
    <s v="Little"/>
    <s v="Unknown"/>
    <n v="2743"/>
    <n v="28"/>
    <x v="0"/>
    <x v="0"/>
    <s v="Young"/>
    <s v="Medium"/>
    <s v="Low Risk"/>
  </r>
  <r>
    <n v="46"/>
    <s v="Male"/>
    <n v="2"/>
    <s v="Own"/>
    <s v="rich"/>
    <s v="Unknown"/>
    <n v="1149"/>
    <n v="18"/>
    <x v="0"/>
    <x v="0"/>
    <s v="Senior"/>
    <s v="Medium"/>
    <s v="Low Risk"/>
  </r>
  <r>
    <n v="20"/>
    <s v="Male"/>
    <n v="2"/>
    <s v="Own"/>
    <s v="Little"/>
    <s v="Unknown"/>
    <n v="1313"/>
    <n v="9"/>
    <x v="2"/>
    <x v="0"/>
    <s v="Young"/>
    <s v="Short"/>
    <s v="Low Risk"/>
  </r>
  <r>
    <n v="55"/>
    <s v="Female"/>
    <n v="0"/>
    <s v="Free"/>
    <s v="Little"/>
    <s v="Little"/>
    <n v="1190"/>
    <n v="18"/>
    <x v="6"/>
    <x v="0"/>
    <s v="Adult"/>
    <s v="Medium"/>
    <s v="Low Risk"/>
  </r>
  <r>
    <n v="74"/>
    <s v="Male"/>
    <n v="1"/>
    <s v="Own"/>
    <s v="Little"/>
    <s v="Unknown"/>
    <n v="3448"/>
    <n v="5"/>
    <x v="4"/>
    <x v="0"/>
    <s v="Adult"/>
    <s v="Short"/>
    <s v="Medium Risk"/>
  </r>
  <r>
    <n v="29"/>
    <s v="Male"/>
    <n v="3"/>
    <s v="Own"/>
    <s v="Little"/>
    <s v="Moderate"/>
    <n v="11328"/>
    <n v="24"/>
    <x v="7"/>
    <x v="1"/>
    <s v="Young"/>
    <s v="Medium"/>
    <s v="HighRisk"/>
  </r>
  <r>
    <n v="36"/>
    <s v="Male"/>
    <n v="3"/>
    <s v="Free"/>
    <s v="Little"/>
    <s v="Little"/>
    <n v="1872"/>
    <n v="6"/>
    <x v="2"/>
    <x v="0"/>
    <s v="Senior"/>
    <s v="Short"/>
    <s v="Low Risk"/>
  </r>
  <r>
    <n v="33"/>
    <s v="Male"/>
    <n v="2"/>
    <s v="Own"/>
    <s v="Little"/>
    <s v="Unknown"/>
    <n v="2058"/>
    <n v="24"/>
    <x v="6"/>
    <x v="0"/>
    <s v="Senior"/>
    <s v="Medium"/>
    <s v="Low Risk"/>
  </r>
  <r>
    <n v="25"/>
    <s v="Male"/>
    <n v="2"/>
    <s v="Own"/>
    <s v="Little"/>
    <s v="Little"/>
    <n v="2136"/>
    <n v="9"/>
    <x v="2"/>
    <x v="0"/>
    <s v="Young"/>
    <s v="Short"/>
    <s v="Low Risk"/>
  </r>
  <r>
    <n v="25"/>
    <s v="Male"/>
    <n v="2"/>
    <s v="Own"/>
    <s v="Unknown"/>
    <s v="Moderate"/>
    <n v="1484"/>
    <n v="12"/>
    <x v="0"/>
    <x v="0"/>
    <s v="Young"/>
    <s v="Medium"/>
    <s v="Low Risk"/>
  </r>
  <r>
    <n v="23"/>
    <s v="Male"/>
    <n v="1"/>
    <s v="Rent"/>
    <s v="Quite rich"/>
    <s v="Unknown"/>
    <n v="660"/>
    <n v="6"/>
    <x v="6"/>
    <x v="0"/>
    <s v="Young"/>
    <s v="Short"/>
    <s v="Low Risk"/>
  </r>
  <r>
    <n v="37"/>
    <s v="Female"/>
    <n v="2"/>
    <s v="Own"/>
    <s v="rich"/>
    <s v="Unknown"/>
    <n v="1287"/>
    <n v="24"/>
    <x v="3"/>
    <x v="0"/>
    <s v="Senior"/>
    <s v="Medium"/>
    <s v="Low Risk"/>
  </r>
  <r>
    <n v="65"/>
    <s v="Male"/>
    <n v="0"/>
    <s v="Own"/>
    <s v="Little"/>
    <s v="Little"/>
    <n v="3394"/>
    <n v="42"/>
    <x v="6"/>
    <x v="1"/>
    <s v="Adult"/>
    <s v="Long"/>
    <s v="Medium Risk"/>
  </r>
  <r>
    <n v="26"/>
    <s v="Female"/>
    <n v="0"/>
    <s v="Own"/>
    <s v="Little"/>
    <s v="rich"/>
    <n v="609"/>
    <n v="12"/>
    <x v="4"/>
    <x v="0"/>
    <s v="Young"/>
    <s v="Medium"/>
    <s v="Low Risk"/>
  </r>
  <r>
    <n v="39"/>
    <s v="Male"/>
    <n v="3"/>
    <s v="Own"/>
    <s v="Little"/>
    <s v="Unknown"/>
    <n v="1884"/>
    <n v="12"/>
    <x v="3"/>
    <x v="0"/>
    <s v="Senior"/>
    <s v="Medium"/>
    <s v="Low Risk"/>
  </r>
  <r>
    <n v="30"/>
    <s v="Female"/>
    <n v="2"/>
    <s v="Own"/>
    <s v="Little"/>
    <s v="Little"/>
    <n v="1620"/>
    <n v="12"/>
    <x v="2"/>
    <x v="0"/>
    <s v="Senior"/>
    <s v="Medium"/>
    <s v="Low Risk"/>
  </r>
  <r>
    <n v="29"/>
    <s v="Male"/>
    <n v="2"/>
    <s v="Own"/>
    <s v="Little"/>
    <s v="Moderate"/>
    <n v="2629"/>
    <n v="20"/>
    <x v="7"/>
    <x v="0"/>
    <s v="Young"/>
    <s v="Medium"/>
    <s v="Low Risk"/>
  </r>
  <r>
    <n v="41"/>
    <s v="Male"/>
    <n v="1"/>
    <s v="Own"/>
    <s v="Little"/>
    <s v="Unknown"/>
    <n v="719"/>
    <n v="12"/>
    <x v="1"/>
    <x v="0"/>
    <s v="Senior"/>
    <s v="Medium"/>
    <s v="Low Risk"/>
  </r>
  <r>
    <n v="30"/>
    <s v="Female"/>
    <n v="3"/>
    <s v="Own"/>
    <s v="Little"/>
    <s v="Moderate"/>
    <n v="5096"/>
    <n v="48"/>
    <x v="2"/>
    <x v="1"/>
    <s v="Senior"/>
    <s v="Long"/>
    <s v="Medium Risk"/>
  </r>
  <r>
    <n v="41"/>
    <s v="Female"/>
    <n v="1"/>
    <s v="Rent"/>
    <s v="Unknown"/>
    <s v="Unknown"/>
    <n v="1244"/>
    <n v="9"/>
    <x v="1"/>
    <x v="0"/>
    <s v="Senior"/>
    <s v="Short"/>
    <s v="Low Risk"/>
  </r>
  <r>
    <n v="34"/>
    <s v="Female"/>
    <n v="2"/>
    <s v="Own"/>
    <s v="Little"/>
    <s v="Little"/>
    <n v="1842"/>
    <n v="36"/>
    <x v="3"/>
    <x v="0"/>
    <s v="Senior"/>
    <s v="Long"/>
    <s v="Low Risk"/>
  </r>
  <r>
    <n v="35"/>
    <s v="Male"/>
    <n v="2"/>
    <s v="Own"/>
    <s v="Little"/>
    <s v="Moderate"/>
    <n v="2576"/>
    <n v="7"/>
    <x v="0"/>
    <x v="0"/>
    <s v="Senior"/>
    <s v="Short"/>
    <s v="Low Risk"/>
  </r>
  <r>
    <n v="55"/>
    <s v="Female"/>
    <n v="3"/>
    <s v="Own"/>
    <s v="Unknown"/>
    <s v="rich"/>
    <n v="1424"/>
    <n v="12"/>
    <x v="2"/>
    <x v="0"/>
    <s v="Adult"/>
    <s v="Medium"/>
    <s v="Low Risk"/>
  </r>
  <r>
    <n v="61"/>
    <s v="Male"/>
    <n v="2"/>
    <s v="Own"/>
    <s v="rich"/>
    <s v="Moderate"/>
    <n v="1512"/>
    <n v="15"/>
    <x v="6"/>
    <x v="0"/>
    <s v="Adult"/>
    <s v="Medium"/>
    <s v="Low Risk"/>
  </r>
  <r>
    <n v="30"/>
    <s v="Male"/>
    <n v="3"/>
    <s v="Own"/>
    <s v="Unknown"/>
    <s v="Unknown"/>
    <n v="11054"/>
    <n v="36"/>
    <x v="3"/>
    <x v="1"/>
    <s v="Senior"/>
    <s v="Long"/>
    <s v="HighRisk"/>
  </r>
  <r>
    <n v="29"/>
    <s v="Female"/>
    <n v="2"/>
    <s v="Own"/>
    <s v="Little"/>
    <s v="Unknown"/>
    <n v="518"/>
    <n v="6"/>
    <x v="0"/>
    <x v="0"/>
    <s v="Young"/>
    <s v="Short"/>
    <s v="Low Risk"/>
  </r>
  <r>
    <n v="34"/>
    <s v="Male"/>
    <n v="2"/>
    <s v="Own"/>
    <s v="Little"/>
    <s v="Unknown"/>
    <n v="2759"/>
    <n v="12"/>
    <x v="2"/>
    <x v="0"/>
    <s v="Senior"/>
    <s v="Medium"/>
    <s v="Low Risk"/>
  </r>
  <r>
    <n v="35"/>
    <s v="Male"/>
    <n v="3"/>
    <s v="Own"/>
    <s v="Little"/>
    <s v="Unknown"/>
    <n v="2670"/>
    <n v="24"/>
    <x v="3"/>
    <x v="0"/>
    <s v="Senior"/>
    <s v="Medium"/>
    <s v="Low Risk"/>
  </r>
  <r>
    <n v="31"/>
    <s v="Male"/>
    <n v="2"/>
    <s v="Own"/>
    <s v="Little"/>
    <s v="Little"/>
    <n v="4817"/>
    <n v="24"/>
    <x v="3"/>
    <x v="0"/>
    <s v="Senior"/>
    <s v="Medium"/>
    <s v="Medium Risk"/>
  </r>
  <r>
    <n v="29"/>
    <s v="Female"/>
    <n v="3"/>
    <s v="Own"/>
    <s v="Little"/>
    <s v="Unknown"/>
    <n v="2679"/>
    <n v="24"/>
    <x v="3"/>
    <x v="0"/>
    <s v="Young"/>
    <s v="Medium"/>
    <s v="Low Risk"/>
  </r>
  <r>
    <n v="36"/>
    <s v="Male"/>
    <n v="2"/>
    <s v="Rent"/>
    <s v="Little"/>
    <s v="Little"/>
    <n v="3905"/>
    <n v="11"/>
    <x v="3"/>
    <x v="0"/>
    <s v="Senior"/>
    <s v="Short"/>
    <s v="Medium Risk"/>
  </r>
  <r>
    <n v="35"/>
    <s v="Male"/>
    <n v="2"/>
    <s v="Free"/>
    <s v="Little"/>
    <s v="Little"/>
    <n v="3386"/>
    <n v="12"/>
    <x v="3"/>
    <x v="0"/>
    <s v="Senior"/>
    <s v="Medium"/>
    <s v="Medium Risk"/>
  </r>
  <r>
    <n v="27"/>
    <s v="Female"/>
    <n v="2"/>
    <s v="Own"/>
    <s v="Little"/>
    <s v="Little"/>
    <n v="343"/>
    <n v="6"/>
    <x v="5"/>
    <x v="0"/>
    <s v="Young"/>
    <s v="Short"/>
    <s v="Low Risk"/>
  </r>
  <r>
    <n v="32"/>
    <s v="Male"/>
    <n v="2"/>
    <s v="Own"/>
    <s v="Little"/>
    <s v="Unknown"/>
    <n v="4594"/>
    <n v="18"/>
    <x v="0"/>
    <x v="0"/>
    <s v="Senior"/>
    <s v="Medium"/>
    <s v="Medium Risk"/>
  </r>
  <r>
    <n v="37"/>
    <s v="Male"/>
    <n v="2"/>
    <s v="Own"/>
    <s v="Little"/>
    <s v="Little"/>
    <n v="3620"/>
    <n v="36"/>
    <x v="2"/>
    <x v="0"/>
    <s v="Senior"/>
    <s v="Long"/>
    <s v="Medium Risk"/>
  </r>
  <r>
    <n v="36"/>
    <s v="Male"/>
    <n v="2"/>
    <s v="Own"/>
    <s v="Little"/>
    <s v="Little"/>
    <n v="1721"/>
    <n v="15"/>
    <x v="3"/>
    <x v="0"/>
    <s v="Senior"/>
    <s v="Medium"/>
    <s v="Low Risk"/>
  </r>
  <r>
    <n v="34"/>
    <s v="Female"/>
    <n v="3"/>
    <s v="Rent"/>
    <s v="Little"/>
    <s v="Moderate"/>
    <n v="3017"/>
    <n v="12"/>
    <x v="2"/>
    <x v="0"/>
    <s v="Senior"/>
    <s v="Medium"/>
    <s v="Medium Risk"/>
  </r>
  <r>
    <n v="38"/>
    <s v="Male"/>
    <n v="2"/>
    <s v="Own"/>
    <s v="Unknown"/>
    <s v="Moderate"/>
    <n v="754"/>
    <n v="12"/>
    <x v="1"/>
    <x v="0"/>
    <s v="Senior"/>
    <s v="Medium"/>
    <s v="Low Risk"/>
  </r>
  <r>
    <n v="34"/>
    <s v="Male"/>
    <n v="2"/>
    <s v="Own"/>
    <s v="Little"/>
    <s v="Unknown"/>
    <n v="1950"/>
    <n v="18"/>
    <x v="4"/>
    <x v="0"/>
    <s v="Senior"/>
    <s v="Medium"/>
    <s v="Low Risk"/>
  </r>
  <r>
    <n v="63"/>
    <s v="Male"/>
    <n v="2"/>
    <s v="Own"/>
    <s v="Little"/>
    <s v="Little"/>
    <n v="2924"/>
    <n v="24"/>
    <x v="3"/>
    <x v="0"/>
    <s v="Adult"/>
    <s v="Medium"/>
    <s v="Low Risk"/>
  </r>
  <r>
    <n v="29"/>
    <s v="Female"/>
    <n v="1"/>
    <s v="Rent"/>
    <s v="Little"/>
    <s v="Little"/>
    <n v="1659"/>
    <n v="24"/>
    <x v="0"/>
    <x v="0"/>
    <s v="Young"/>
    <s v="Medium"/>
    <s v="Low Risk"/>
  </r>
  <r>
    <n v="32"/>
    <s v="Male"/>
    <n v="2"/>
    <s v="Own"/>
    <s v="Unknown"/>
    <s v="Unknown"/>
    <n v="7238"/>
    <n v="48"/>
    <x v="0"/>
    <x v="1"/>
    <s v="Senior"/>
    <s v="Long"/>
    <s v="HighRisk"/>
  </r>
  <r>
    <n v="26"/>
    <s v="Female"/>
    <n v="2"/>
    <s v="Own"/>
    <s v="Little"/>
    <s v="Unknown"/>
    <n v="2764"/>
    <n v="33"/>
    <x v="4"/>
    <x v="0"/>
    <s v="Young"/>
    <s v="Medium"/>
    <s v="Low Risk"/>
  </r>
  <r>
    <n v="35"/>
    <s v="Male"/>
    <n v="1"/>
    <s v="Own"/>
    <s v="Little"/>
    <s v="Unknown"/>
    <n v="4679"/>
    <n v="24"/>
    <x v="3"/>
    <x v="0"/>
    <s v="Senior"/>
    <s v="Medium"/>
    <s v="Medium Risk"/>
  </r>
  <r>
    <n v="22"/>
    <s v="Male"/>
    <n v="2"/>
    <s v="Rent"/>
    <s v="Moderate"/>
    <s v="Moderate"/>
    <n v="3092"/>
    <n v="24"/>
    <x v="0"/>
    <x v="0"/>
    <s v="Young"/>
    <s v="Medium"/>
    <s v="Medium Risk"/>
  </r>
  <r>
    <n v="23"/>
    <s v="Female"/>
    <n v="2"/>
    <s v="Own"/>
    <s v="Little"/>
    <s v="Little"/>
    <n v="448"/>
    <n v="6"/>
    <x v="1"/>
    <x v="0"/>
    <s v="Young"/>
    <s v="Short"/>
    <s v="Low Risk"/>
  </r>
  <r>
    <n v="28"/>
    <s v="Male"/>
    <n v="1"/>
    <s v="Own"/>
    <s v="Little"/>
    <s v="Little"/>
    <n v="654"/>
    <n v="9"/>
    <x v="3"/>
    <x v="0"/>
    <s v="Young"/>
    <s v="Short"/>
    <s v="Low Risk"/>
  </r>
  <r>
    <n v="36"/>
    <s v="Male"/>
    <n v="3"/>
    <s v="Own"/>
    <s v="Unknown"/>
    <s v="Unknown"/>
    <n v="1238"/>
    <n v="6"/>
    <x v="1"/>
    <x v="0"/>
    <s v="Senior"/>
    <s v="Short"/>
    <s v="Low Risk"/>
  </r>
  <r>
    <n v="33"/>
    <s v="Male"/>
    <n v="2"/>
    <s v="Own"/>
    <s v="Little"/>
    <s v="Moderate"/>
    <n v="1245"/>
    <n v="18"/>
    <x v="0"/>
    <x v="0"/>
    <s v="Senior"/>
    <s v="Medium"/>
    <s v="Low Risk"/>
  </r>
  <r>
    <n v="26"/>
    <s v="Female"/>
    <n v="2"/>
    <s v="Rent"/>
    <s v="Little"/>
    <s v="Little"/>
    <n v="3114"/>
    <n v="18"/>
    <x v="2"/>
    <x v="0"/>
    <s v="Young"/>
    <s v="Medium"/>
    <s v="Medium Risk"/>
  </r>
  <r>
    <n v="24"/>
    <s v="Male"/>
    <n v="2"/>
    <s v="Own"/>
    <s v="Quite rich"/>
    <s v="Unknown"/>
    <n v="2569"/>
    <n v="39"/>
    <x v="3"/>
    <x v="1"/>
    <s v="Young"/>
    <s v="Long"/>
    <s v="Low Risk"/>
  </r>
  <r>
    <n v="25"/>
    <s v="Male"/>
    <n v="2"/>
    <s v="Own"/>
    <s v="Little"/>
    <s v="rich"/>
    <n v="5152"/>
    <n v="24"/>
    <x v="0"/>
    <x v="0"/>
    <s v="Young"/>
    <s v="Medium"/>
    <s v="Medium Risk"/>
  </r>
  <r>
    <n v="39"/>
    <s v="Male"/>
    <n v="1"/>
    <s v="Own"/>
    <s v="Moderate"/>
    <s v="Moderate"/>
    <n v="1037"/>
    <n v="12"/>
    <x v="4"/>
    <x v="0"/>
    <s v="Senior"/>
    <s v="Medium"/>
    <s v="Low Risk"/>
  </r>
  <r>
    <n v="44"/>
    <s v="Male"/>
    <n v="2"/>
    <s v="Own"/>
    <s v="Little"/>
    <s v="Little"/>
    <n v="1478"/>
    <n v="15"/>
    <x v="2"/>
    <x v="0"/>
    <s v="Senior"/>
    <s v="Medium"/>
    <s v="Low Risk"/>
  </r>
  <r>
    <n v="23"/>
    <s v="Female"/>
    <n v="1"/>
    <s v="Own"/>
    <s v="Little"/>
    <s v="Moderate"/>
    <n v="3573"/>
    <n v="12"/>
    <x v="0"/>
    <x v="0"/>
    <s v="Young"/>
    <s v="Medium"/>
    <s v="Medium Risk"/>
  </r>
  <r>
    <n v="26"/>
    <s v="Male"/>
    <n v="2"/>
    <s v="Own"/>
    <s v="Little"/>
    <s v="Moderate"/>
    <n v="1201"/>
    <n v="24"/>
    <x v="3"/>
    <x v="0"/>
    <s v="Young"/>
    <s v="Medium"/>
    <s v="Low Risk"/>
  </r>
  <r>
    <n v="57"/>
    <s v="Female"/>
    <n v="2"/>
    <s v="Rent"/>
    <s v="rich"/>
    <s v="Little"/>
    <n v="3622"/>
    <n v="30"/>
    <x v="2"/>
    <x v="0"/>
    <s v="Adult"/>
    <s v="Medium"/>
    <s v="Medium Risk"/>
  </r>
  <r>
    <n v="30"/>
    <s v="Female"/>
    <n v="2"/>
    <s v="Own"/>
    <s v="rich"/>
    <s v="Unknown"/>
    <n v="960"/>
    <n v="15"/>
    <x v="2"/>
    <x v="0"/>
    <s v="Senior"/>
    <s v="Medium"/>
    <s v="Low Risk"/>
  </r>
  <r>
    <n v="44"/>
    <s v="Male"/>
    <n v="2"/>
    <s v="Own"/>
    <s v="Quite rich"/>
    <s v="Unknown"/>
    <n v="1163"/>
    <n v="12"/>
    <x v="3"/>
    <x v="0"/>
    <s v="Senior"/>
    <s v="Medium"/>
    <s v="Low Risk"/>
  </r>
  <r>
    <n v="47"/>
    <s v="Male"/>
    <n v="3"/>
    <s v="Own"/>
    <s v="Little"/>
    <s v="Moderate"/>
    <n v="1209"/>
    <n v="6"/>
    <x v="3"/>
    <x v="0"/>
    <s v="Senior"/>
    <s v="Short"/>
    <s v="Low Risk"/>
  </r>
  <r>
    <n v="52"/>
    <s v="Male"/>
    <n v="2"/>
    <s v="Own"/>
    <s v="Little"/>
    <s v="Unknown"/>
    <n v="3077"/>
    <n v="12"/>
    <x v="0"/>
    <x v="0"/>
    <s v="Adult"/>
    <s v="Medium"/>
    <s v="Medium Risk"/>
  </r>
  <r>
    <n v="62"/>
    <s v="Female"/>
    <n v="2"/>
    <s v="Free"/>
    <s v="Little"/>
    <s v="Unknown"/>
    <n v="3757"/>
    <n v="24"/>
    <x v="3"/>
    <x v="0"/>
    <s v="Adult"/>
    <s v="Medium"/>
    <s v="Medium Risk"/>
  </r>
  <r>
    <n v="35"/>
    <s v="Male"/>
    <n v="1"/>
    <s v="Rent"/>
    <s v="Moderate"/>
    <s v="Unknown"/>
    <n v="1418"/>
    <n v="10"/>
    <x v="3"/>
    <x v="0"/>
    <s v="Senior"/>
    <s v="Short"/>
    <s v="Low Risk"/>
  </r>
  <r>
    <n v="26"/>
    <s v="Male"/>
    <n v="2"/>
    <s v="Rent"/>
    <s v="Little"/>
    <s v="Unknown"/>
    <n v="3518"/>
    <n v="6"/>
    <x v="3"/>
    <x v="0"/>
    <s v="Young"/>
    <s v="Short"/>
    <s v="Medium Risk"/>
  </r>
  <r>
    <n v="26"/>
    <s v="Male"/>
    <n v="2"/>
    <s v="Own"/>
    <s v="Little"/>
    <s v="Unknown"/>
    <n v="1934"/>
    <n v="12"/>
    <x v="0"/>
    <x v="0"/>
    <s v="Young"/>
    <s v="Medium"/>
    <s v="Low Risk"/>
  </r>
  <r>
    <n v="42"/>
    <s v="Female"/>
    <n v="3"/>
    <s v="Free"/>
    <s v="Little"/>
    <s v="Moderate"/>
    <n v="8318"/>
    <n v="27"/>
    <x v="4"/>
    <x v="1"/>
    <s v="Senior"/>
    <s v="Medium"/>
    <s v="HighRisk"/>
  </r>
  <r>
    <n v="27"/>
    <s v="Female"/>
    <n v="2"/>
    <s v="Own"/>
    <s v="Moderate"/>
    <s v="Unknown"/>
    <n v="1237"/>
    <n v="6"/>
    <x v="0"/>
    <x v="0"/>
    <s v="Young"/>
    <s v="Short"/>
    <s v="Low Risk"/>
  </r>
  <r>
    <n v="38"/>
    <s v="Male"/>
    <n v="2"/>
    <s v="Own"/>
    <s v="Unknown"/>
    <s v="Moderate"/>
    <n v="368"/>
    <n v="6"/>
    <x v="0"/>
    <x v="0"/>
    <s v="Senior"/>
    <s v="Short"/>
    <s v="Low Risk"/>
  </r>
  <r>
    <n v="39"/>
    <s v="Male"/>
    <n v="1"/>
    <s v="Rent"/>
    <s v="Little"/>
    <s v="Little"/>
    <n v="2122"/>
    <n v="12"/>
    <x v="3"/>
    <x v="0"/>
    <s v="Senior"/>
    <s v="Medium"/>
    <s v="Low Risk"/>
  </r>
  <r>
    <n v="20"/>
    <s v="Male"/>
    <n v="2"/>
    <s v="Own"/>
    <s v="Unknown"/>
    <s v="Little"/>
    <n v="2996"/>
    <n v="24"/>
    <x v="2"/>
    <x v="0"/>
    <s v="Young"/>
    <s v="Medium"/>
    <s v="Low Risk"/>
  </r>
  <r>
    <n v="29"/>
    <s v="Male"/>
    <n v="3"/>
    <s v="Rent"/>
    <s v="Moderate"/>
    <s v="Moderate"/>
    <n v="9034"/>
    <n v="36"/>
    <x v="2"/>
    <x v="1"/>
    <s v="Young"/>
    <s v="Long"/>
    <s v="HighRisk"/>
  </r>
  <r>
    <n v="40"/>
    <s v="Male"/>
    <n v="2"/>
    <s v="Own"/>
    <s v="Little"/>
    <s v="Unknown"/>
    <n v="1585"/>
    <n v="24"/>
    <x v="2"/>
    <x v="0"/>
    <s v="Senior"/>
    <s v="Medium"/>
    <s v="Low Risk"/>
  </r>
  <r>
    <n v="32"/>
    <s v="Male"/>
    <n v="1"/>
    <s v="Own"/>
    <s v="Little"/>
    <s v="Moderate"/>
    <n v="1301"/>
    <n v="18"/>
    <x v="0"/>
    <x v="0"/>
    <s v="Senior"/>
    <s v="Medium"/>
    <s v="Low Risk"/>
  </r>
  <r>
    <n v="28"/>
    <s v="Male"/>
    <n v="2"/>
    <s v="Own"/>
    <s v="Moderate"/>
    <s v="rich"/>
    <n v="1323"/>
    <n v="6"/>
    <x v="3"/>
    <x v="0"/>
    <s v="Young"/>
    <s v="Short"/>
    <s v="Low Risk"/>
  </r>
  <r>
    <n v="27"/>
    <s v="Female"/>
    <n v="2"/>
    <s v="Own"/>
    <s v="Little"/>
    <s v="Little"/>
    <n v="3123"/>
    <n v="24"/>
    <x v="3"/>
    <x v="0"/>
    <s v="Young"/>
    <s v="Medium"/>
    <s v="Medium Risk"/>
  </r>
  <r>
    <n v="42"/>
    <s v="Male"/>
    <n v="2"/>
    <s v="Free"/>
    <s v="Little"/>
    <s v="Little"/>
    <n v="5493"/>
    <n v="36"/>
    <x v="3"/>
    <x v="2"/>
    <s v="Senior"/>
    <s v="Long"/>
    <s v="Medium Risk"/>
  </r>
  <r>
    <n v="49"/>
    <s v="Male"/>
    <n v="2"/>
    <s v="Own"/>
    <s v="Moderate"/>
    <s v="rich"/>
    <n v="1126"/>
    <n v="9"/>
    <x v="0"/>
    <x v="0"/>
    <s v="Senior"/>
    <s v="Short"/>
    <s v="Low Risk"/>
  </r>
  <r>
    <n v="38"/>
    <s v="Male"/>
    <n v="2"/>
    <s v="Own"/>
    <s v="Moderate"/>
    <s v="Moderate"/>
    <n v="1216"/>
    <n v="24"/>
    <x v="0"/>
    <x v="0"/>
    <s v="Senior"/>
    <s v="Medium"/>
    <s v="Low Risk"/>
  </r>
  <r>
    <n v="24"/>
    <s v="Female"/>
    <n v="2"/>
    <s v="Rent"/>
    <s v="Little"/>
    <s v="Little"/>
    <n v="1207"/>
    <n v="24"/>
    <x v="3"/>
    <x v="0"/>
    <s v="Young"/>
    <s v="Medium"/>
    <s v="Low Risk"/>
  </r>
  <r>
    <n v="27"/>
    <s v="Male"/>
    <n v="1"/>
    <s v="Own"/>
    <s v="Unknown"/>
    <s v="Unknown"/>
    <n v="1309"/>
    <n v="10"/>
    <x v="3"/>
    <x v="0"/>
    <s v="Young"/>
    <s v="Short"/>
    <s v="Low Risk"/>
  </r>
  <r>
    <n v="36"/>
    <s v="Male"/>
    <n v="2"/>
    <s v="Own"/>
    <s v="Quite rich"/>
    <s v="rich"/>
    <n v="2360"/>
    <n v="15"/>
    <x v="3"/>
    <x v="0"/>
    <s v="Senior"/>
    <s v="Medium"/>
    <s v="Low Risk"/>
  </r>
  <r>
    <n v="34"/>
    <s v="Male"/>
    <n v="3"/>
    <s v="Own"/>
    <s v="Moderate"/>
    <s v="Moderate"/>
    <n v="6850"/>
    <n v="15"/>
    <x v="3"/>
    <x v="0"/>
    <s v="Senior"/>
    <s v="Medium"/>
    <s v="HighRisk"/>
  </r>
  <r>
    <n v="28"/>
    <s v="Male"/>
    <n v="2"/>
    <s v="Own"/>
    <s v="Little"/>
    <s v="Unknown"/>
    <n v="1413"/>
    <n v="24"/>
    <x v="0"/>
    <x v="0"/>
    <s v="Young"/>
    <s v="Medium"/>
    <s v="Low Risk"/>
  </r>
  <r>
    <n v="45"/>
    <s v="Male"/>
    <n v="3"/>
    <s v="Own"/>
    <s v="Moderate"/>
    <s v="Unknown"/>
    <n v="8588"/>
    <n v="39"/>
    <x v="3"/>
    <x v="1"/>
    <s v="Senior"/>
    <s v="Long"/>
    <s v="HighRisk"/>
  </r>
  <r>
    <n v="26"/>
    <s v="Male"/>
    <n v="2"/>
    <s v="Own"/>
    <s v="Little"/>
    <s v="Little"/>
    <n v="759"/>
    <n v="12"/>
    <x v="3"/>
    <x v="0"/>
    <s v="Young"/>
    <s v="Medium"/>
    <s v="Low Risk"/>
  </r>
  <r>
    <n v="32"/>
    <s v="Male"/>
    <n v="3"/>
    <s v="Free"/>
    <s v="Little"/>
    <s v="Unknown"/>
    <n v="4686"/>
    <n v="36"/>
    <x v="3"/>
    <x v="2"/>
    <s v="Senior"/>
    <s v="Long"/>
    <s v="Medium Risk"/>
  </r>
  <r>
    <n v="26"/>
    <s v="Male"/>
    <n v="2"/>
    <s v="Rent"/>
    <s v="Little"/>
    <s v="rich"/>
    <n v="2687"/>
    <n v="15"/>
    <x v="4"/>
    <x v="0"/>
    <s v="Young"/>
    <s v="Medium"/>
    <s v="Low Risk"/>
  </r>
  <r>
    <n v="20"/>
    <s v="Male"/>
    <n v="2"/>
    <s v="Rent"/>
    <s v="Little"/>
    <s v="Moderate"/>
    <n v="585"/>
    <n v="12"/>
    <x v="0"/>
    <x v="0"/>
    <s v="Young"/>
    <s v="Medium"/>
    <s v="Low Risk"/>
  </r>
  <r>
    <n v="54"/>
    <s v="Male"/>
    <n v="2"/>
    <s v="Own"/>
    <s v="Unknown"/>
    <s v="Unknown"/>
    <n v="2255"/>
    <n v="24"/>
    <x v="3"/>
    <x v="0"/>
    <s v="Adult"/>
    <s v="Medium"/>
    <s v="Low Risk"/>
  </r>
  <r>
    <n v="37"/>
    <s v="Female"/>
    <n v="2"/>
    <s v="Own"/>
    <s v="Little"/>
    <s v="Little"/>
    <n v="609"/>
    <n v="6"/>
    <x v="3"/>
    <x v="0"/>
    <s v="Senior"/>
    <s v="Short"/>
    <s v="Low Risk"/>
  </r>
  <r>
    <n v="40"/>
    <s v="Male"/>
    <n v="1"/>
    <s v="Own"/>
    <s v="Little"/>
    <s v="Little"/>
    <n v="1361"/>
    <n v="6"/>
    <x v="3"/>
    <x v="0"/>
    <s v="Senior"/>
    <s v="Short"/>
    <s v="Low Risk"/>
  </r>
  <r>
    <n v="23"/>
    <s v="Female"/>
    <n v="2"/>
    <s v="Rent"/>
    <s v="Little"/>
    <s v="Unknown"/>
    <n v="7127"/>
    <n v="36"/>
    <x v="2"/>
    <x v="1"/>
    <s v="Young"/>
    <s v="Long"/>
    <s v="HighRisk"/>
  </r>
  <r>
    <n v="43"/>
    <s v="Male"/>
    <n v="2"/>
    <s v="Own"/>
    <s v="Moderate"/>
    <s v="Little"/>
    <n v="1203"/>
    <n v="6"/>
    <x v="3"/>
    <x v="0"/>
    <s v="Senior"/>
    <s v="Short"/>
    <s v="Low Risk"/>
  </r>
  <r>
    <n v="36"/>
    <s v="Male"/>
    <n v="2"/>
    <s v="Free"/>
    <s v="Unknown"/>
    <s v="Unknown"/>
    <n v="700"/>
    <n v="6"/>
    <x v="0"/>
    <x v="0"/>
    <s v="Senior"/>
    <s v="Short"/>
    <s v="Low Risk"/>
  </r>
  <r>
    <n v="44"/>
    <s v="Male"/>
    <n v="2"/>
    <s v="Free"/>
    <s v="Little"/>
    <s v="Unknown"/>
    <n v="5507"/>
    <n v="24"/>
    <x v="6"/>
    <x v="0"/>
    <s v="Senior"/>
    <s v="Medium"/>
    <s v="Medium Risk"/>
  </r>
  <r>
    <n v="24"/>
    <s v="Female"/>
    <n v="2"/>
    <s v="Own"/>
    <s v="Little"/>
    <s v="Little"/>
    <n v="3190"/>
    <n v="18"/>
    <x v="0"/>
    <x v="0"/>
    <s v="Young"/>
    <s v="Medium"/>
    <s v="Medium Risk"/>
  </r>
  <r>
    <n v="53"/>
    <s v="Male"/>
    <n v="2"/>
    <s v="Free"/>
    <s v="Little"/>
    <s v="Little"/>
    <n v="7119"/>
    <n v="48"/>
    <x v="2"/>
    <x v="1"/>
    <s v="Adult"/>
    <s v="Long"/>
    <s v="HighRisk"/>
  </r>
  <r>
    <n v="23"/>
    <s v="Female"/>
    <n v="2"/>
    <s v="Own"/>
    <s v="Moderate"/>
    <s v="Unknown"/>
    <n v="3488"/>
    <n v="24"/>
    <x v="3"/>
    <x v="0"/>
    <s v="Young"/>
    <s v="Medium"/>
    <s v="Medium Risk"/>
  </r>
  <r>
    <n v="26"/>
    <s v="Female"/>
    <n v="1"/>
    <s v="Own"/>
    <s v="Little"/>
    <s v="Moderate"/>
    <n v="1113"/>
    <n v="18"/>
    <x v="0"/>
    <x v="0"/>
    <s v="Young"/>
    <s v="Medium"/>
    <s v="Low Risk"/>
  </r>
  <r>
    <n v="30"/>
    <s v="Male"/>
    <n v="2"/>
    <s v="Own"/>
    <s v="Little"/>
    <s v="Moderate"/>
    <n v="7966"/>
    <n v="26"/>
    <x v="3"/>
    <x v="1"/>
    <s v="Senior"/>
    <s v="Medium"/>
    <s v="HighRisk"/>
  </r>
  <r>
    <n v="31"/>
    <s v="Female"/>
    <n v="2"/>
    <s v="Own"/>
    <s v="Moderate"/>
    <s v="Unknown"/>
    <n v="1532"/>
    <n v="15"/>
    <x v="1"/>
    <x v="0"/>
    <s v="Senior"/>
    <s v="Medium"/>
    <s v="Low Risk"/>
  </r>
  <r>
    <n v="42"/>
    <s v="Male"/>
    <n v="1"/>
    <s v="Own"/>
    <s v="Little"/>
    <s v="Unknown"/>
    <n v="1503"/>
    <n v="4"/>
    <x v="0"/>
    <x v="0"/>
    <s v="Senior"/>
    <s v="Short"/>
    <s v="Low Risk"/>
  </r>
  <r>
    <n v="31"/>
    <s v="Male"/>
    <n v="2"/>
    <s v="Rent"/>
    <s v="Little"/>
    <s v="Little"/>
    <n v="2302"/>
    <n v="36"/>
    <x v="0"/>
    <x v="0"/>
    <s v="Senior"/>
    <s v="Long"/>
    <s v="Low Risk"/>
  </r>
  <r>
    <n v="41"/>
    <s v="Male"/>
    <n v="1"/>
    <s v="Own"/>
    <s v="Little"/>
    <s v="Little"/>
    <n v="662"/>
    <n v="6"/>
    <x v="3"/>
    <x v="0"/>
    <s v="Senior"/>
    <s v="Short"/>
    <s v="Low Risk"/>
  </r>
  <r>
    <n v="32"/>
    <s v="Male"/>
    <n v="2"/>
    <s v="Own"/>
    <s v="Little"/>
    <s v="Moderate"/>
    <n v="2273"/>
    <n v="36"/>
    <x v="1"/>
    <x v="0"/>
    <s v="Senior"/>
    <s v="Long"/>
    <s v="Low Risk"/>
  </r>
  <r>
    <n v="28"/>
    <s v="Female"/>
    <n v="2"/>
    <s v="Rent"/>
    <s v="Moderate"/>
    <s v="Moderate"/>
    <n v="2631"/>
    <n v="15"/>
    <x v="3"/>
    <x v="0"/>
    <s v="Young"/>
    <s v="Medium"/>
    <s v="Low Risk"/>
  </r>
  <r>
    <n v="41"/>
    <s v="Male"/>
    <n v="2"/>
    <s v="Rent"/>
    <s v="Little"/>
    <s v="Unknown"/>
    <n v="1503"/>
    <n v="12"/>
    <x v="3"/>
    <x v="0"/>
    <s v="Senior"/>
    <s v="Medium"/>
    <s v="Low Risk"/>
  </r>
  <r>
    <n v="26"/>
    <s v="Male"/>
    <n v="2"/>
    <s v="Own"/>
    <s v="Moderate"/>
    <s v="Unknown"/>
    <n v="1311"/>
    <n v="24"/>
    <x v="0"/>
    <x v="0"/>
    <s v="Young"/>
    <s v="Medium"/>
    <s v="Low Risk"/>
  </r>
  <r>
    <n v="25"/>
    <s v="Male"/>
    <n v="2"/>
    <s v="Own"/>
    <s v="Unknown"/>
    <s v="Unknown"/>
    <n v="3105"/>
    <n v="24"/>
    <x v="0"/>
    <x v="0"/>
    <s v="Young"/>
    <s v="Medium"/>
    <s v="Medium Risk"/>
  </r>
  <r>
    <n v="33"/>
    <s v="Male"/>
    <n v="2"/>
    <s v="Rent"/>
    <s v="Little"/>
    <s v="rich"/>
    <n v="2319"/>
    <n v="21"/>
    <x v="1"/>
    <x v="0"/>
    <s v="Senior"/>
    <s v="Medium"/>
    <s v="Low Risk"/>
  </r>
  <r>
    <n v="75"/>
    <s v="Female"/>
    <n v="3"/>
    <s v="Own"/>
    <s v="Unknown"/>
    <s v="Little"/>
    <n v="1374"/>
    <n v="6"/>
    <x v="3"/>
    <x v="0"/>
    <s v="Adult"/>
    <s v="Short"/>
    <s v="Low Risk"/>
  </r>
  <r>
    <n v="37"/>
    <s v="Female"/>
    <n v="2"/>
    <s v="Own"/>
    <s v="Little"/>
    <s v="Moderate"/>
    <n v="3612"/>
    <n v="18"/>
    <x v="2"/>
    <x v="0"/>
    <s v="Senior"/>
    <s v="Medium"/>
    <s v="Medium Risk"/>
  </r>
  <r>
    <n v="42"/>
    <s v="Male"/>
    <n v="3"/>
    <s v="Free"/>
    <s v="Little"/>
    <s v="Little"/>
    <n v="7763"/>
    <n v="48"/>
    <x v="3"/>
    <x v="1"/>
    <s v="Senior"/>
    <s v="Long"/>
    <s v="HighRisk"/>
  </r>
  <r>
    <n v="45"/>
    <s v="Female"/>
    <n v="1"/>
    <s v="Own"/>
    <s v="Little"/>
    <s v="rich"/>
    <n v="3049"/>
    <n v="18"/>
    <x v="2"/>
    <x v="0"/>
    <s v="Senior"/>
    <s v="Medium"/>
    <s v="Medium Risk"/>
  </r>
  <r>
    <n v="23"/>
    <s v="Male"/>
    <n v="2"/>
    <s v="Rent"/>
    <s v="Little"/>
    <s v="Moderate"/>
    <n v="1534"/>
    <n v="12"/>
    <x v="0"/>
    <x v="0"/>
    <s v="Young"/>
    <s v="Medium"/>
    <s v="Low Risk"/>
  </r>
  <r>
    <n v="60"/>
    <s v="Male"/>
    <n v="2"/>
    <s v="Free"/>
    <s v="Little"/>
    <s v="Unknown"/>
    <n v="2032"/>
    <n v="24"/>
    <x v="3"/>
    <x v="0"/>
    <s v="Adult"/>
    <s v="Medium"/>
    <s v="Low Risk"/>
  </r>
  <r>
    <n v="31"/>
    <s v="Male"/>
    <n v="2"/>
    <s v="Own"/>
    <s v="Unknown"/>
    <s v="Little"/>
    <n v="6350"/>
    <n v="30"/>
    <x v="2"/>
    <x v="2"/>
    <s v="Senior"/>
    <s v="Medium"/>
    <s v="HighRisk"/>
  </r>
  <r>
    <n v="34"/>
    <s v="Male"/>
    <n v="1"/>
    <s v="Own"/>
    <s v="Little"/>
    <s v="rich"/>
    <n v="2864"/>
    <n v="18"/>
    <x v="2"/>
    <x v="0"/>
    <s v="Senior"/>
    <s v="Medium"/>
    <s v="Low Risk"/>
  </r>
  <r>
    <n v="61"/>
    <s v="Male"/>
    <n v="1"/>
    <s v="Own"/>
    <s v="Little"/>
    <s v="Unknown"/>
    <n v="1255"/>
    <n v="12"/>
    <x v="3"/>
    <x v="0"/>
    <s v="Adult"/>
    <s v="Medium"/>
    <s v="Low Risk"/>
  </r>
  <r>
    <n v="43"/>
    <s v="Male"/>
    <n v="2"/>
    <s v="Free"/>
    <s v="Little"/>
    <s v="Little"/>
    <n v="1333"/>
    <n v="24"/>
    <x v="3"/>
    <x v="0"/>
    <s v="Senior"/>
    <s v="Medium"/>
    <s v="Low Risk"/>
  </r>
  <r>
    <n v="37"/>
    <s v="Female"/>
    <n v="2"/>
    <s v="Own"/>
    <s v="Little"/>
    <s v="Unknown"/>
    <n v="2022"/>
    <n v="24"/>
    <x v="3"/>
    <x v="0"/>
    <s v="Senior"/>
    <s v="Medium"/>
    <s v="Low Risk"/>
  </r>
  <r>
    <n v="32"/>
    <s v="Male"/>
    <n v="2"/>
    <s v="Own"/>
    <s v="Little"/>
    <s v="Unknown"/>
    <n v="1552"/>
    <n v="24"/>
    <x v="0"/>
    <x v="0"/>
    <s v="Senior"/>
    <s v="Medium"/>
    <s v="Low Risk"/>
  </r>
  <r>
    <n v="24"/>
    <s v="Female"/>
    <n v="1"/>
    <s v="Own"/>
    <s v="Little"/>
    <s v="Little"/>
    <n v="626"/>
    <n v="12"/>
    <x v="0"/>
    <x v="0"/>
    <s v="Young"/>
    <s v="Medium"/>
    <s v="Low Risk"/>
  </r>
  <r>
    <n v="35"/>
    <s v="Male"/>
    <n v="2"/>
    <s v="Free"/>
    <s v="Unknown"/>
    <s v="Unknown"/>
    <n v="8858"/>
    <n v="48"/>
    <x v="3"/>
    <x v="1"/>
    <s v="Senior"/>
    <s v="Long"/>
    <s v="HighRisk"/>
  </r>
  <r>
    <n v="23"/>
    <s v="Female"/>
    <n v="2"/>
    <s v="Own"/>
    <s v="Unknown"/>
    <s v="Unknown"/>
    <n v="996"/>
    <n v="12"/>
    <x v="6"/>
    <x v="0"/>
    <s v="Young"/>
    <s v="Medium"/>
    <s v="Low Risk"/>
  </r>
  <r>
    <n v="45"/>
    <s v="Male"/>
    <n v="1"/>
    <s v="Own"/>
    <s v="Quite rich"/>
    <s v="Unknown"/>
    <n v="1750"/>
    <n v="6"/>
    <x v="0"/>
    <x v="0"/>
    <s v="Senior"/>
    <s v="Short"/>
    <s v="Low Risk"/>
  </r>
  <r>
    <n v="34"/>
    <s v="Male"/>
    <n v="2"/>
    <s v="Own"/>
    <s v="Little"/>
    <s v="Little"/>
    <n v="6999"/>
    <n v="48"/>
    <x v="0"/>
    <x v="1"/>
    <s v="Senior"/>
    <s v="Long"/>
    <s v="HighRisk"/>
  </r>
  <r>
    <n v="27"/>
    <s v="Male"/>
    <n v="2"/>
    <s v="Own"/>
    <s v="Moderate"/>
    <s v="Moderate"/>
    <n v="1995"/>
    <n v="12"/>
    <x v="3"/>
    <x v="0"/>
    <s v="Young"/>
    <s v="Medium"/>
    <s v="Low Risk"/>
  </r>
  <r>
    <n v="67"/>
    <s v="Female"/>
    <n v="3"/>
    <s v="Own"/>
    <s v="Little"/>
    <s v="Moderate"/>
    <n v="1199"/>
    <n v="9"/>
    <x v="1"/>
    <x v="0"/>
    <s v="Adult"/>
    <s v="Short"/>
    <s v="Low Risk"/>
  </r>
  <r>
    <n v="22"/>
    <s v="Male"/>
    <n v="2"/>
    <s v="Own"/>
    <s v="Little"/>
    <s v="Moderate"/>
    <n v="1331"/>
    <n v="12"/>
    <x v="0"/>
    <x v="0"/>
    <s v="Young"/>
    <s v="Medium"/>
    <s v="Low Risk"/>
  </r>
  <r>
    <n v="28"/>
    <s v="Female"/>
    <n v="2"/>
    <s v="Own"/>
    <s v="Moderate"/>
    <s v="Moderate"/>
    <n v="2278"/>
    <n v="18"/>
    <x v="3"/>
    <x v="0"/>
    <s v="Young"/>
    <s v="Medium"/>
    <s v="Low Risk"/>
  </r>
  <r>
    <n v="29"/>
    <s v="Female"/>
    <n v="2"/>
    <s v="Own"/>
    <s v="Unknown"/>
    <s v="Unknown"/>
    <n v="5003"/>
    <n v="21"/>
    <x v="3"/>
    <x v="0"/>
    <s v="Young"/>
    <s v="Medium"/>
    <s v="Medium Risk"/>
  </r>
  <r>
    <n v="27"/>
    <s v="Male"/>
    <n v="2"/>
    <s v="Own"/>
    <s v="Little"/>
    <s v="Little"/>
    <n v="3552"/>
    <n v="24"/>
    <x v="2"/>
    <x v="0"/>
    <s v="Young"/>
    <s v="Medium"/>
    <s v="Medium Risk"/>
  </r>
  <r>
    <n v="31"/>
    <s v="Male"/>
    <n v="1"/>
    <s v="Own"/>
    <s v="Little"/>
    <s v="Moderate"/>
    <n v="1928"/>
    <n v="18"/>
    <x v="2"/>
    <x v="0"/>
    <s v="Senior"/>
    <s v="Medium"/>
    <s v="Low Risk"/>
  </r>
  <r>
    <n v="49"/>
    <s v="Male"/>
    <n v="2"/>
    <s v="Free"/>
    <s v="Unknown"/>
    <s v="Little"/>
    <n v="2964"/>
    <n v="24"/>
    <x v="3"/>
    <x v="0"/>
    <s v="Senior"/>
    <s v="Medium"/>
    <s v="Low Risk"/>
  </r>
  <r>
    <n v="24"/>
    <s v="Male"/>
    <n v="1"/>
    <s v="Rent"/>
    <s v="Little"/>
    <s v="Little"/>
    <n v="1546"/>
    <n v="24"/>
    <x v="0"/>
    <x v="0"/>
    <s v="Young"/>
    <s v="Medium"/>
    <s v="Low Risk"/>
  </r>
  <r>
    <n v="29"/>
    <s v="Female"/>
    <n v="2"/>
    <s v="Own"/>
    <s v="Little"/>
    <s v="rich"/>
    <n v="683"/>
    <n v="6"/>
    <x v="0"/>
    <x v="0"/>
    <s v="Young"/>
    <s v="Short"/>
    <s v="Low Risk"/>
  </r>
  <r>
    <n v="37"/>
    <s v="Male"/>
    <n v="2"/>
    <s v="Free"/>
    <s v="Unknown"/>
    <s v="Moderate"/>
    <n v="12389"/>
    <n v="36"/>
    <x v="3"/>
    <x v="1"/>
    <s v="Senior"/>
    <s v="Long"/>
    <s v="HighRisk"/>
  </r>
  <r>
    <n v="37"/>
    <s v="Male"/>
    <n v="3"/>
    <s v="Own"/>
    <s v="Unknown"/>
    <s v="Moderate"/>
    <n v="4712"/>
    <n v="24"/>
    <x v="4"/>
    <x v="0"/>
    <s v="Senior"/>
    <s v="Medium"/>
    <s v="Medium Risk"/>
  </r>
  <r>
    <n v="23"/>
    <s v="Female"/>
    <n v="2"/>
    <s v="Rent"/>
    <s v="Moderate"/>
    <s v="Moderate"/>
    <n v="1553"/>
    <n v="24"/>
    <x v="0"/>
    <x v="0"/>
    <s v="Young"/>
    <s v="Medium"/>
    <s v="Low Risk"/>
  </r>
  <r>
    <n v="36"/>
    <s v="Male"/>
    <n v="2"/>
    <s v="Own"/>
    <s v="Little"/>
    <s v="Little"/>
    <n v="1372"/>
    <n v="12"/>
    <x v="3"/>
    <x v="0"/>
    <s v="Senior"/>
    <s v="Medium"/>
    <s v="Low Risk"/>
  </r>
  <r>
    <n v="34"/>
    <s v="Male"/>
    <n v="2"/>
    <s v="Own"/>
    <s v="rich"/>
    <s v="Unknown"/>
    <n v="2578"/>
    <n v="24"/>
    <x v="0"/>
    <x v="0"/>
    <s v="Senior"/>
    <s v="Medium"/>
    <s v="Low Risk"/>
  </r>
  <r>
    <n v="41"/>
    <s v="Male"/>
    <n v="2"/>
    <s v="Own"/>
    <s v="Unknown"/>
    <s v="Moderate"/>
    <n v="3979"/>
    <n v="48"/>
    <x v="0"/>
    <x v="1"/>
    <s v="Senior"/>
    <s v="Long"/>
    <s v="Medium Risk"/>
  </r>
  <r>
    <n v="31"/>
    <s v="Female"/>
    <n v="2"/>
    <s v="Own"/>
    <s v="Little"/>
    <s v="Little"/>
    <n v="6758"/>
    <n v="48"/>
    <x v="0"/>
    <x v="1"/>
    <s v="Senior"/>
    <s v="Long"/>
    <s v="HighRisk"/>
  </r>
  <r>
    <n v="23"/>
    <s v="Female"/>
    <n v="1"/>
    <s v="Rent"/>
    <s v="Little"/>
    <s v="Little"/>
    <n v="3234"/>
    <n v="24"/>
    <x v="2"/>
    <x v="0"/>
    <s v="Young"/>
    <s v="Medium"/>
    <s v="Medium Risk"/>
  </r>
  <r>
    <n v="38"/>
    <s v="Male"/>
    <n v="2"/>
    <s v="Own"/>
    <s v="Little"/>
    <s v="Unknown"/>
    <n v="5954"/>
    <n v="30"/>
    <x v="0"/>
    <x v="2"/>
    <s v="Senior"/>
    <s v="Medium"/>
    <s v="Medium Risk"/>
  </r>
  <r>
    <n v="26"/>
    <s v="Female"/>
    <n v="3"/>
    <s v="Rent"/>
    <s v="Unknown"/>
    <s v="Unknown"/>
    <n v="5433"/>
    <n v="24"/>
    <x v="3"/>
    <x v="0"/>
    <s v="Young"/>
    <s v="Medium"/>
    <s v="Medium Risk"/>
  </r>
  <r>
    <n v="22"/>
    <s v="Female"/>
    <n v="1"/>
    <s v="Own"/>
    <s v="Little"/>
    <s v="Little"/>
    <n v="806"/>
    <n v="15"/>
    <x v="4"/>
    <x v="0"/>
    <s v="Young"/>
    <s v="Medium"/>
    <s v="Low Risk"/>
  </r>
  <r>
    <n v="27"/>
    <s v="Male"/>
    <n v="1"/>
    <s v="Own"/>
    <s v="Little"/>
    <s v="Moderate"/>
    <n v="1082"/>
    <n v="9"/>
    <x v="0"/>
    <x v="0"/>
    <s v="Young"/>
    <s v="Short"/>
    <s v="Low Risk"/>
  </r>
  <r>
    <n v="24"/>
    <s v="Female"/>
    <n v="2"/>
    <s v="Own"/>
    <s v="Little"/>
    <s v="Unknown"/>
    <n v="2788"/>
    <n v="15"/>
    <x v="2"/>
    <x v="0"/>
    <s v="Young"/>
    <s v="Medium"/>
    <s v="Low Risk"/>
  </r>
  <r>
    <n v="27"/>
    <s v="Female"/>
    <n v="2"/>
    <s v="Own"/>
    <s v="Little"/>
    <s v="Moderate"/>
    <n v="2930"/>
    <n v="12"/>
    <x v="0"/>
    <x v="0"/>
    <s v="Young"/>
    <s v="Medium"/>
    <s v="Low Risk"/>
  </r>
  <r>
    <n v="33"/>
    <s v="Female"/>
    <n v="2"/>
    <s v="Own"/>
    <s v="Unknown"/>
    <s v="Unknown"/>
    <n v="1927"/>
    <n v="24"/>
    <x v="1"/>
    <x v="0"/>
    <s v="Senior"/>
    <s v="Medium"/>
    <s v="Low Risk"/>
  </r>
  <r>
    <n v="27"/>
    <s v="Male"/>
    <n v="2"/>
    <s v="Own"/>
    <s v="Little"/>
    <s v="Moderate"/>
    <n v="2820"/>
    <n v="36"/>
    <x v="3"/>
    <x v="0"/>
    <s v="Young"/>
    <s v="Long"/>
    <s v="Low Risk"/>
  </r>
  <r>
    <n v="27"/>
    <s v="Male"/>
    <n v="1"/>
    <s v="Own"/>
    <s v="Little"/>
    <s v="Unknown"/>
    <n v="937"/>
    <n v="24"/>
    <x v="1"/>
    <x v="0"/>
    <s v="Young"/>
    <s v="Medium"/>
    <s v="Low Risk"/>
  </r>
  <r>
    <n v="30"/>
    <s v="Male"/>
    <n v="2"/>
    <s v="Own"/>
    <s v="Little"/>
    <s v="Moderate"/>
    <n v="1056"/>
    <n v="18"/>
    <x v="3"/>
    <x v="0"/>
    <s v="Senior"/>
    <s v="Medium"/>
    <s v="Low Risk"/>
  </r>
  <r>
    <n v="49"/>
    <s v="Male"/>
    <n v="1"/>
    <s v="Own"/>
    <s v="Little"/>
    <s v="Moderate"/>
    <n v="3124"/>
    <n v="12"/>
    <x v="3"/>
    <x v="0"/>
    <s v="Senior"/>
    <s v="Medium"/>
    <s v="Medium Risk"/>
  </r>
  <r>
    <n v="26"/>
    <s v="Female"/>
    <n v="2"/>
    <s v="Rent"/>
    <s v="Little"/>
    <s v="Unknown"/>
    <n v="1388"/>
    <n v="9"/>
    <x v="2"/>
    <x v="0"/>
    <s v="Young"/>
    <s v="Short"/>
    <s v="Low Risk"/>
  </r>
  <r>
    <n v="33"/>
    <s v="Male"/>
    <n v="1"/>
    <s v="Rent"/>
    <s v="Little"/>
    <s v="Moderate"/>
    <n v="2384"/>
    <n v="36"/>
    <x v="6"/>
    <x v="0"/>
    <s v="Senior"/>
    <s v="Long"/>
    <s v="Low Risk"/>
  </r>
  <r>
    <n v="52"/>
    <s v="Female"/>
    <n v="3"/>
    <s v="Free"/>
    <s v="Unknown"/>
    <s v="Unknown"/>
    <n v="2133"/>
    <n v="12"/>
    <x v="3"/>
    <x v="0"/>
    <s v="Adult"/>
    <s v="Medium"/>
    <s v="Low Risk"/>
  </r>
  <r>
    <n v="20"/>
    <s v="Female"/>
    <n v="2"/>
    <s v="Rent"/>
    <s v="Little"/>
    <s v="Little"/>
    <n v="2039"/>
    <n v="18"/>
    <x v="2"/>
    <x v="0"/>
    <s v="Young"/>
    <s v="Medium"/>
    <s v="Low Risk"/>
  </r>
  <r>
    <n v="36"/>
    <s v="Male"/>
    <n v="2"/>
    <s v="Rent"/>
    <s v="Little"/>
    <s v="Little"/>
    <n v="2799"/>
    <n v="9"/>
    <x v="3"/>
    <x v="0"/>
    <s v="Senior"/>
    <s v="Short"/>
    <s v="Low Risk"/>
  </r>
  <r>
    <n v="21"/>
    <s v="Male"/>
    <n v="1"/>
    <s v="Own"/>
    <s v="Little"/>
    <s v="Little"/>
    <n v="1289"/>
    <n v="12"/>
    <x v="2"/>
    <x v="0"/>
    <s v="Young"/>
    <s v="Medium"/>
    <s v="Low Risk"/>
  </r>
  <r>
    <n v="47"/>
    <s v="Male"/>
    <n v="1"/>
    <s v="Own"/>
    <s v="Little"/>
    <s v="Little"/>
    <n v="1217"/>
    <n v="18"/>
    <x v="5"/>
    <x v="0"/>
    <s v="Senior"/>
    <s v="Medium"/>
    <s v="Low Risk"/>
  </r>
  <r>
    <n v="60"/>
    <s v="Male"/>
    <n v="2"/>
    <s v="Own"/>
    <s v="Little"/>
    <s v="Little"/>
    <n v="2246"/>
    <n v="12"/>
    <x v="2"/>
    <x v="0"/>
    <s v="Adult"/>
    <s v="Medium"/>
    <s v="Low Risk"/>
  </r>
  <r>
    <n v="58"/>
    <s v="Female"/>
    <n v="1"/>
    <s v="Own"/>
    <s v="Little"/>
    <s v="Little"/>
    <n v="385"/>
    <n v="12"/>
    <x v="0"/>
    <x v="0"/>
    <s v="Adult"/>
    <s v="Medium"/>
    <s v="Low Risk"/>
  </r>
  <r>
    <n v="42"/>
    <s v="Female"/>
    <n v="2"/>
    <s v="Rent"/>
    <s v="Unknown"/>
    <s v="Moderate"/>
    <n v="1965"/>
    <n v="24"/>
    <x v="3"/>
    <x v="0"/>
    <s v="Senior"/>
    <s v="Medium"/>
    <s v="Low Risk"/>
  </r>
  <r>
    <n v="36"/>
    <s v="Female"/>
    <n v="1"/>
    <s v="Own"/>
    <s v="rich"/>
    <s v="Unknown"/>
    <n v="1572"/>
    <n v="21"/>
    <x v="4"/>
    <x v="0"/>
    <s v="Senior"/>
    <s v="Medium"/>
    <s v="Low Risk"/>
  </r>
  <r>
    <n v="20"/>
    <s v="Female"/>
    <n v="1"/>
    <s v="Rent"/>
    <s v="Little"/>
    <s v="Moderate"/>
    <n v="2718"/>
    <n v="24"/>
    <x v="3"/>
    <x v="0"/>
    <s v="Young"/>
    <s v="Medium"/>
    <s v="Low Risk"/>
  </r>
  <r>
    <n v="40"/>
    <s v="Male"/>
    <n v="3"/>
    <s v="Own"/>
    <s v="Unknown"/>
    <s v="Little"/>
    <n v="1358"/>
    <n v="24"/>
    <x v="7"/>
    <x v="0"/>
    <s v="Senior"/>
    <s v="Medium"/>
    <s v="Low Risk"/>
  </r>
  <r>
    <n v="32"/>
    <s v="Female"/>
    <n v="1"/>
    <s v="Own"/>
    <s v="Moderate"/>
    <s v="Moderate"/>
    <n v="931"/>
    <n v="6"/>
    <x v="3"/>
    <x v="0"/>
    <s v="Senior"/>
    <s v="Short"/>
    <s v="Low Risk"/>
  </r>
  <r>
    <n v="23"/>
    <s v="Female"/>
    <n v="2"/>
    <s v="Rent"/>
    <s v="Little"/>
    <s v="Little"/>
    <n v="1442"/>
    <n v="24"/>
    <x v="3"/>
    <x v="0"/>
    <s v="Young"/>
    <s v="Medium"/>
    <s v="Low Risk"/>
  </r>
  <r>
    <n v="36"/>
    <s v="Male"/>
    <n v="1"/>
    <s v="Own"/>
    <s v="Little"/>
    <s v="Moderate"/>
    <n v="4241"/>
    <n v="24"/>
    <x v="4"/>
    <x v="0"/>
    <s v="Senior"/>
    <s v="Medium"/>
    <s v="Medium Risk"/>
  </r>
  <r>
    <n v="31"/>
    <s v="Male"/>
    <n v="2"/>
    <s v="Own"/>
    <s v="Little"/>
    <s v="Unknown"/>
    <n v="2775"/>
    <n v="18"/>
    <x v="3"/>
    <x v="0"/>
    <s v="Senior"/>
    <s v="Medium"/>
    <s v="Low Risk"/>
  </r>
  <r>
    <n v="32"/>
    <s v="Male"/>
    <n v="2"/>
    <s v="Free"/>
    <s v="Little"/>
    <s v="Unknown"/>
    <n v="3863"/>
    <n v="24"/>
    <x v="4"/>
    <x v="0"/>
    <s v="Senior"/>
    <s v="Medium"/>
    <s v="Medium Risk"/>
  </r>
  <r>
    <n v="45"/>
    <s v="Female"/>
    <n v="2"/>
    <s v="Own"/>
    <s v="Little"/>
    <s v="Moderate"/>
    <n v="2329"/>
    <n v="7"/>
    <x v="0"/>
    <x v="0"/>
    <s v="Senior"/>
    <s v="Short"/>
    <s v="Low Risk"/>
  </r>
  <r>
    <n v="30"/>
    <s v="Female"/>
    <n v="2"/>
    <s v="Own"/>
    <s v="Little"/>
    <s v="Moderate"/>
    <n v="918"/>
    <n v="9"/>
    <x v="2"/>
    <x v="0"/>
    <s v="Senior"/>
    <s v="Short"/>
    <s v="Low Risk"/>
  </r>
  <r>
    <n v="34"/>
    <s v="Female"/>
    <n v="1"/>
    <s v="Free"/>
    <s v="Little"/>
    <s v="Moderate"/>
    <n v="1837"/>
    <n v="24"/>
    <x v="1"/>
    <x v="0"/>
    <s v="Senior"/>
    <s v="Medium"/>
    <s v="Low Risk"/>
  </r>
  <r>
    <n v="28"/>
    <s v="Female"/>
    <n v="3"/>
    <s v="Own"/>
    <s v="Little"/>
    <s v="Unknown"/>
    <n v="3349"/>
    <n v="36"/>
    <x v="2"/>
    <x v="0"/>
    <s v="Young"/>
    <s v="Long"/>
    <s v="Medium Risk"/>
  </r>
  <r>
    <n v="23"/>
    <s v="Female"/>
    <n v="2"/>
    <s v="Own"/>
    <s v="Little"/>
    <s v="rich"/>
    <n v="1275"/>
    <n v="10"/>
    <x v="2"/>
    <x v="0"/>
    <s v="Young"/>
    <s v="Short"/>
    <s v="Low Risk"/>
  </r>
  <r>
    <n v="22"/>
    <s v="Male"/>
    <n v="2"/>
    <s v="Own"/>
    <s v="Quite rich"/>
    <s v="Little"/>
    <n v="2828"/>
    <n v="24"/>
    <x v="2"/>
    <x v="0"/>
    <s v="Young"/>
    <s v="Medium"/>
    <s v="Low Risk"/>
  </r>
  <r>
    <n v="74"/>
    <s v="Male"/>
    <n v="3"/>
    <s v="Own"/>
    <s v="Little"/>
    <s v="Unknown"/>
    <n v="4526"/>
    <n v="24"/>
    <x v="4"/>
    <x v="0"/>
    <s v="Adult"/>
    <s v="Medium"/>
    <s v="Medium Risk"/>
  </r>
  <r>
    <n v="50"/>
    <s v="Female"/>
    <n v="2"/>
    <s v="Free"/>
    <s v="Moderate"/>
    <s v="Moderate"/>
    <n v="2671"/>
    <n v="36"/>
    <x v="0"/>
    <x v="0"/>
    <s v="Senior"/>
    <s v="Long"/>
    <s v="Low Risk"/>
  </r>
  <r>
    <n v="33"/>
    <s v="Male"/>
    <n v="2"/>
    <s v="Own"/>
    <s v="Little"/>
    <s v="Unknown"/>
    <n v="2051"/>
    <n v="18"/>
    <x v="0"/>
    <x v="0"/>
    <s v="Senior"/>
    <s v="Medium"/>
    <s v="Low Risk"/>
  </r>
  <r>
    <n v="45"/>
    <s v="Male"/>
    <n v="2"/>
    <s v="Free"/>
    <s v="Unknown"/>
    <s v="Unknown"/>
    <n v="1300"/>
    <n v="15"/>
    <x v="3"/>
    <x v="0"/>
    <s v="Senior"/>
    <s v="Medium"/>
    <s v="Low Risk"/>
  </r>
  <r>
    <n v="22"/>
    <s v="Female"/>
    <n v="2"/>
    <s v="Own"/>
    <s v="Moderate"/>
    <s v="Little"/>
    <n v="741"/>
    <n v="12"/>
    <x v="5"/>
    <x v="0"/>
    <s v="Young"/>
    <s v="Medium"/>
    <s v="Low Risk"/>
  </r>
  <r>
    <n v="48"/>
    <s v="Female"/>
    <n v="1"/>
    <s v="Free"/>
    <s v="Moderate"/>
    <s v="rich"/>
    <n v="1240"/>
    <n v="10"/>
    <x v="3"/>
    <x v="0"/>
    <s v="Senior"/>
    <s v="Short"/>
    <s v="Low Risk"/>
  </r>
  <r>
    <n v="29"/>
    <s v="Female"/>
    <n v="2"/>
    <s v="Own"/>
    <s v="rich"/>
    <s v="Little"/>
    <n v="3357"/>
    <n v="21"/>
    <x v="0"/>
    <x v="0"/>
    <s v="Young"/>
    <s v="Medium"/>
    <s v="Medium Risk"/>
  </r>
  <r>
    <n v="22"/>
    <s v="Female"/>
    <n v="2"/>
    <s v="Rent"/>
    <s v="Little"/>
    <s v="Little"/>
    <n v="3632"/>
    <n v="24"/>
    <x v="3"/>
    <x v="0"/>
    <s v="Young"/>
    <s v="Medium"/>
    <s v="Medium Risk"/>
  </r>
  <r>
    <n v="22"/>
    <s v="Female"/>
    <n v="2"/>
    <s v="Own"/>
    <s v="Little"/>
    <s v="Unknown"/>
    <n v="1808"/>
    <n v="18"/>
    <x v="2"/>
    <x v="0"/>
    <s v="Young"/>
    <s v="Medium"/>
    <s v="Low Risk"/>
  </r>
  <r>
    <n v="48"/>
    <s v="Male"/>
    <n v="3"/>
    <s v="Own"/>
    <s v="Unknown"/>
    <s v="Moderate"/>
    <n v="12204"/>
    <n v="48"/>
    <x v="4"/>
    <x v="1"/>
    <s v="Senior"/>
    <s v="Long"/>
    <s v="HighRisk"/>
  </r>
  <r>
    <n v="27"/>
    <s v="Male"/>
    <n v="3"/>
    <s v="Free"/>
    <s v="Unknown"/>
    <s v="Moderate"/>
    <n v="9157"/>
    <n v="60"/>
    <x v="0"/>
    <x v="1"/>
    <s v="Young"/>
    <s v="Long"/>
    <s v="HighRisk"/>
  </r>
  <r>
    <n v="37"/>
    <s v="Male"/>
    <n v="2"/>
    <s v="Rent"/>
    <s v="Little"/>
    <s v="Little"/>
    <n v="3676"/>
    <n v="6"/>
    <x v="3"/>
    <x v="0"/>
    <s v="Senior"/>
    <s v="Short"/>
    <s v="Medium Risk"/>
  </r>
  <r>
    <n v="21"/>
    <s v="Female"/>
    <n v="2"/>
    <s v="Rent"/>
    <s v="Moderate"/>
    <s v="Moderate"/>
    <n v="3441"/>
    <n v="30"/>
    <x v="2"/>
    <x v="0"/>
    <s v="Young"/>
    <s v="Medium"/>
    <s v="Medium Risk"/>
  </r>
  <r>
    <n v="49"/>
    <s v="Male"/>
    <n v="1"/>
    <s v="Own"/>
    <s v="Little"/>
    <s v="Unknown"/>
    <n v="640"/>
    <n v="12"/>
    <x v="3"/>
    <x v="0"/>
    <s v="Senior"/>
    <s v="Medium"/>
    <s v="Low Risk"/>
  </r>
  <r>
    <n v="27"/>
    <s v="Male"/>
    <n v="2"/>
    <s v="Own"/>
    <s v="Little"/>
    <s v="Moderate"/>
    <n v="3652"/>
    <n v="21"/>
    <x v="4"/>
    <x v="0"/>
    <s v="Young"/>
    <s v="Medium"/>
    <s v="Medium Risk"/>
  </r>
  <r>
    <n v="32"/>
    <s v="Male"/>
    <n v="2"/>
    <s v="Own"/>
    <s v="Little"/>
    <s v="Unknown"/>
    <n v="1530"/>
    <n v="18"/>
    <x v="3"/>
    <x v="0"/>
    <s v="Senior"/>
    <s v="Medium"/>
    <s v="Low Risk"/>
  </r>
  <r>
    <n v="38"/>
    <s v="Male"/>
    <n v="2"/>
    <s v="Own"/>
    <s v="Unknown"/>
    <s v="Unknown"/>
    <n v="3914"/>
    <n v="48"/>
    <x v="4"/>
    <x v="1"/>
    <s v="Senior"/>
    <s v="Long"/>
    <s v="Medium Risk"/>
  </r>
  <r>
    <n v="22"/>
    <s v="Female"/>
    <n v="2"/>
    <s v="Rent"/>
    <s v="Little"/>
    <s v="Little"/>
    <n v="1858"/>
    <n v="12"/>
    <x v="2"/>
    <x v="0"/>
    <s v="Young"/>
    <s v="Medium"/>
    <s v="Low Risk"/>
  </r>
  <r>
    <n v="65"/>
    <s v="Male"/>
    <n v="2"/>
    <s v="Free"/>
    <s v="Little"/>
    <s v="Little"/>
    <n v="2600"/>
    <n v="18"/>
    <x v="0"/>
    <x v="0"/>
    <s v="Adult"/>
    <s v="Medium"/>
    <s v="Low Risk"/>
  </r>
  <r>
    <n v="35"/>
    <s v="Male"/>
    <n v="2"/>
    <s v="Own"/>
    <s v="Unknown"/>
    <s v="Unknown"/>
    <n v="1979"/>
    <n v="15"/>
    <x v="0"/>
    <x v="0"/>
    <s v="Senior"/>
    <s v="Medium"/>
    <s v="Low Risk"/>
  </r>
  <r>
    <n v="41"/>
    <s v="Male"/>
    <n v="2"/>
    <s v="Own"/>
    <s v="Little"/>
    <s v="rich"/>
    <n v="2116"/>
    <n v="6"/>
    <x v="2"/>
    <x v="0"/>
    <s v="Senior"/>
    <s v="Short"/>
    <s v="Low Risk"/>
  </r>
  <r>
    <n v="29"/>
    <s v="Male"/>
    <n v="2"/>
    <s v="Own"/>
    <s v="Moderate"/>
    <s v="Moderate"/>
    <n v="1437"/>
    <n v="9"/>
    <x v="3"/>
    <x v="0"/>
    <s v="Young"/>
    <s v="Short"/>
    <s v="Low Risk"/>
  </r>
  <r>
    <n v="36"/>
    <s v="Male"/>
    <n v="2"/>
    <s v="Own"/>
    <s v="Quite rich"/>
    <s v="Unknown"/>
    <n v="4042"/>
    <n v="42"/>
    <x v="2"/>
    <x v="1"/>
    <s v="Senior"/>
    <s v="Long"/>
    <s v="Medium Risk"/>
  </r>
  <r>
    <n v="64"/>
    <s v="Male"/>
    <n v="1"/>
    <s v="Own"/>
    <s v="Unknown"/>
    <s v="Unknown"/>
    <n v="3832"/>
    <n v="9"/>
    <x v="1"/>
    <x v="0"/>
    <s v="Adult"/>
    <s v="Short"/>
    <s v="Medium Risk"/>
  </r>
  <r>
    <n v="28"/>
    <s v="Female"/>
    <n v="2"/>
    <s v="Own"/>
    <s v="Little"/>
    <s v="Little"/>
    <n v="3660"/>
    <n v="24"/>
    <x v="0"/>
    <x v="0"/>
    <s v="Young"/>
    <s v="Medium"/>
    <s v="Medium Risk"/>
  </r>
  <r>
    <n v="44"/>
    <s v="Male"/>
    <n v="2"/>
    <s v="Own"/>
    <s v="Little"/>
    <s v="Little"/>
    <n v="1553"/>
    <n v="18"/>
    <x v="2"/>
    <x v="0"/>
    <s v="Senior"/>
    <s v="Medium"/>
    <s v="Low Risk"/>
  </r>
  <r>
    <n v="23"/>
    <s v="Male"/>
    <n v="2"/>
    <s v="Own"/>
    <s v="Unknown"/>
    <s v="Moderate"/>
    <n v="1444"/>
    <n v="15"/>
    <x v="0"/>
    <x v="0"/>
    <s v="Young"/>
    <s v="Medium"/>
    <s v="Low Risk"/>
  </r>
  <r>
    <n v="19"/>
    <s v="Female"/>
    <n v="2"/>
    <s v="Rent"/>
    <s v="Little"/>
    <s v="Unknown"/>
    <n v="1980"/>
    <n v="9"/>
    <x v="2"/>
    <x v="0"/>
    <s v="Young"/>
    <s v="Short"/>
    <s v="Low Risk"/>
  </r>
  <r>
    <n v="25"/>
    <s v="Female"/>
    <n v="1"/>
    <s v="Own"/>
    <s v="Little"/>
    <s v="Moderate"/>
    <n v="1355"/>
    <n v="24"/>
    <x v="3"/>
    <x v="0"/>
    <s v="Young"/>
    <s v="Medium"/>
    <s v="Low Risk"/>
  </r>
  <r>
    <n v="47"/>
    <s v="Male"/>
    <n v="2"/>
    <s v="Own"/>
    <s v="Little"/>
    <s v="Unknown"/>
    <n v="1393"/>
    <n v="12"/>
    <x v="1"/>
    <x v="0"/>
    <s v="Senior"/>
    <s v="Medium"/>
    <s v="Low Risk"/>
  </r>
  <r>
    <n v="28"/>
    <s v="Female"/>
    <n v="2"/>
    <s v="Own"/>
    <s v="Quite rich"/>
    <s v="Unknown"/>
    <n v="1376"/>
    <n v="24"/>
    <x v="0"/>
    <x v="0"/>
    <s v="Young"/>
    <s v="Medium"/>
    <s v="Low Risk"/>
  </r>
  <r>
    <n v="21"/>
    <s v="Male"/>
    <n v="2"/>
    <s v="Own"/>
    <s v="Little"/>
    <s v="Unknown"/>
    <n v="15653"/>
    <n v="60"/>
    <x v="0"/>
    <x v="1"/>
    <s v="Young"/>
    <s v="Long"/>
    <s v="HighRisk"/>
  </r>
  <r>
    <n v="34"/>
    <s v="Female"/>
    <n v="2"/>
    <s v="Own"/>
    <s v="Little"/>
    <s v="Unknown"/>
    <n v="1493"/>
    <n v="12"/>
    <x v="0"/>
    <x v="0"/>
    <s v="Senior"/>
    <s v="Medium"/>
    <s v="Low Risk"/>
  </r>
  <r>
    <n v="26"/>
    <s v="Male"/>
    <n v="2"/>
    <s v="Own"/>
    <s v="Little"/>
    <s v="Little"/>
    <n v="4370"/>
    <n v="42"/>
    <x v="0"/>
    <x v="1"/>
    <s v="Young"/>
    <s v="Long"/>
    <s v="Medium Risk"/>
  </r>
  <r>
    <n v="27"/>
    <s v="Female"/>
    <n v="0"/>
    <s v="Own"/>
    <s v="Little"/>
    <s v="Little"/>
    <n v="750"/>
    <n v="18"/>
    <x v="1"/>
    <x v="0"/>
    <s v="Young"/>
    <s v="Medium"/>
    <s v="Low Risk"/>
  </r>
  <r>
    <n v="38"/>
    <s v="Male"/>
    <n v="1"/>
    <s v="Own"/>
    <s v="Little"/>
    <s v="Moderate"/>
    <n v="1308"/>
    <n v="15"/>
    <x v="6"/>
    <x v="0"/>
    <s v="Senior"/>
    <s v="Medium"/>
    <s v="Low Risk"/>
  </r>
  <r>
    <n v="40"/>
    <s v="Male"/>
    <n v="3"/>
    <s v="Own"/>
    <s v="Moderate"/>
    <s v="Unknown"/>
    <n v="4623"/>
    <n v="15"/>
    <x v="1"/>
    <x v="0"/>
    <s v="Senior"/>
    <s v="Medium"/>
    <s v="Medium Risk"/>
  </r>
  <r>
    <n v="33"/>
    <s v="Male"/>
    <n v="2"/>
    <s v="Own"/>
    <s v="Little"/>
    <s v="Unknown"/>
    <n v="1851"/>
    <n v="24"/>
    <x v="0"/>
    <x v="0"/>
    <s v="Senior"/>
    <s v="Medium"/>
    <s v="Low Risk"/>
  </r>
  <r>
    <n v="32"/>
    <s v="Male"/>
    <n v="3"/>
    <s v="Own"/>
    <s v="Little"/>
    <s v="Little"/>
    <n v="1880"/>
    <n v="18"/>
    <x v="0"/>
    <x v="0"/>
    <s v="Senior"/>
    <s v="Medium"/>
    <s v="Low Risk"/>
  </r>
  <r>
    <n v="27"/>
    <s v="Male"/>
    <n v="2"/>
    <s v="Rent"/>
    <s v="Unknown"/>
    <s v="Unknown"/>
    <n v="7980"/>
    <n v="36"/>
    <x v="4"/>
    <x v="1"/>
    <s v="Young"/>
    <s v="Long"/>
    <s v="HighRisk"/>
  </r>
  <r>
    <n v="32"/>
    <s v="Male"/>
    <n v="2"/>
    <s v="Own"/>
    <s v="Little"/>
    <s v="Little"/>
    <n v="4583"/>
    <n v="30"/>
    <x v="2"/>
    <x v="2"/>
    <s v="Senior"/>
    <s v="Medium"/>
    <s v="Medium Risk"/>
  </r>
  <r>
    <n v="26"/>
    <s v="Female"/>
    <n v="2"/>
    <s v="Own"/>
    <s v="Quite rich"/>
    <s v="Unknown"/>
    <n v="1386"/>
    <n v="12"/>
    <x v="3"/>
    <x v="0"/>
    <s v="Young"/>
    <s v="Medium"/>
    <s v="Low Risk"/>
  </r>
  <r>
    <n v="38"/>
    <s v="Male"/>
    <n v="2"/>
    <s v="Free"/>
    <s v="Little"/>
    <s v="rich"/>
    <n v="947"/>
    <n v="24"/>
    <x v="3"/>
    <x v="0"/>
    <s v="Senior"/>
    <s v="Medium"/>
    <s v="Low Risk"/>
  </r>
  <r>
    <n v="40"/>
    <s v="Male"/>
    <n v="1"/>
    <s v="Rent"/>
    <s v="Little"/>
    <s v="Little"/>
    <n v="684"/>
    <n v="12"/>
    <x v="1"/>
    <x v="0"/>
    <s v="Senior"/>
    <s v="Medium"/>
    <s v="Low Risk"/>
  </r>
  <r>
    <n v="50"/>
    <s v="Male"/>
    <n v="3"/>
    <s v="Free"/>
    <s v="Little"/>
    <s v="Little"/>
    <n v="7476"/>
    <n v="48"/>
    <x v="1"/>
    <x v="1"/>
    <s v="Senior"/>
    <s v="Long"/>
    <s v="HighRisk"/>
  </r>
  <r>
    <n v="37"/>
    <s v="Male"/>
    <n v="1"/>
    <s v="Own"/>
    <s v="Little"/>
    <s v="Moderate"/>
    <n v="1922"/>
    <n v="12"/>
    <x v="2"/>
    <x v="0"/>
    <s v="Senior"/>
    <s v="Medium"/>
    <s v="Low Risk"/>
  </r>
  <r>
    <n v="45"/>
    <s v="Male"/>
    <n v="2"/>
    <s v="Own"/>
    <s v="Little"/>
    <s v="Little"/>
    <n v="2303"/>
    <n v="24"/>
    <x v="3"/>
    <x v="0"/>
    <s v="Senior"/>
    <s v="Medium"/>
    <s v="Low Risk"/>
  </r>
  <r>
    <n v="42"/>
    <s v="Male"/>
    <n v="3"/>
    <s v="Own"/>
    <s v="Moderate"/>
    <s v="Moderate"/>
    <n v="8086"/>
    <n v="36"/>
    <x v="3"/>
    <x v="1"/>
    <s v="Senior"/>
    <s v="Long"/>
    <s v="HighRisk"/>
  </r>
  <r>
    <n v="35"/>
    <s v="Male"/>
    <n v="2"/>
    <s v="Own"/>
    <s v="Little"/>
    <s v="Unknown"/>
    <n v="2346"/>
    <n v="24"/>
    <x v="3"/>
    <x v="0"/>
    <s v="Senior"/>
    <s v="Medium"/>
    <s v="Low Risk"/>
  </r>
  <r>
    <n v="22"/>
    <s v="Male"/>
    <n v="2"/>
    <s v="Free"/>
    <s v="Little"/>
    <s v="Little"/>
    <n v="3973"/>
    <n v="14"/>
    <x v="3"/>
    <x v="0"/>
    <s v="Young"/>
    <s v="Medium"/>
    <s v="Medium Risk"/>
  </r>
  <r>
    <n v="41"/>
    <s v="Male"/>
    <n v="1"/>
    <s v="Own"/>
    <s v="Little"/>
    <s v="Moderate"/>
    <n v="888"/>
    <n v="12"/>
    <x v="3"/>
    <x v="0"/>
    <s v="Senior"/>
    <s v="Medium"/>
    <s v="Low Risk"/>
  </r>
  <r>
    <n v="37"/>
    <s v="Male"/>
    <n v="2"/>
    <s v="Own"/>
    <s v="Unknown"/>
    <s v="Unknown"/>
    <n v="10222"/>
    <n v="48"/>
    <x v="0"/>
    <x v="1"/>
    <s v="Senior"/>
    <s v="Long"/>
    <s v="HighRisk"/>
  </r>
  <r>
    <n v="28"/>
    <s v="Female"/>
    <n v="2"/>
    <s v="Own"/>
    <s v="Little"/>
    <s v="Moderate"/>
    <n v="4221"/>
    <n v="30"/>
    <x v="4"/>
    <x v="2"/>
    <s v="Young"/>
    <s v="Medium"/>
    <s v="Medium Risk"/>
  </r>
  <r>
    <n v="41"/>
    <s v="Male"/>
    <n v="2"/>
    <s v="Own"/>
    <s v="Little"/>
    <s v="Moderate"/>
    <n v="6361"/>
    <n v="18"/>
    <x v="2"/>
    <x v="0"/>
    <s v="Senior"/>
    <s v="Medium"/>
    <s v="HighRisk"/>
  </r>
  <r>
    <n v="23"/>
    <s v="Male"/>
    <n v="2"/>
    <s v="Rent"/>
    <s v="Little"/>
    <s v="rich"/>
    <n v="1297"/>
    <n v="12"/>
    <x v="0"/>
    <x v="0"/>
    <s v="Young"/>
    <s v="Medium"/>
    <s v="Low Risk"/>
  </r>
  <r>
    <n v="23"/>
    <s v="Male"/>
    <n v="2"/>
    <s v="Own"/>
    <s v="Unknown"/>
    <s v="Little"/>
    <n v="900"/>
    <n v="12"/>
    <x v="3"/>
    <x v="0"/>
    <s v="Young"/>
    <s v="Medium"/>
    <s v="Low Risk"/>
  </r>
  <r>
    <n v="50"/>
    <s v="Male"/>
    <n v="2"/>
    <s v="Own"/>
    <s v="Little"/>
    <s v="Unknown"/>
    <n v="2241"/>
    <n v="21"/>
    <x v="2"/>
    <x v="0"/>
    <s v="Senior"/>
    <s v="Medium"/>
    <s v="Low Risk"/>
  </r>
  <r>
    <n v="35"/>
    <s v="Male"/>
    <n v="3"/>
    <s v="Own"/>
    <s v="Little"/>
    <s v="Moderate"/>
    <n v="1050"/>
    <n v="6"/>
    <x v="2"/>
    <x v="0"/>
    <s v="Senior"/>
    <s v="Short"/>
    <s v="Low Risk"/>
  </r>
  <r>
    <n v="50"/>
    <s v="Female"/>
    <n v="1"/>
    <s v="Own"/>
    <s v="Little"/>
    <s v="rich"/>
    <n v="1047"/>
    <n v="6"/>
    <x v="1"/>
    <x v="0"/>
    <s v="Senior"/>
    <s v="Short"/>
    <s v="Low Risk"/>
  </r>
  <r>
    <n v="27"/>
    <s v="Male"/>
    <n v="3"/>
    <s v="Own"/>
    <s v="Little"/>
    <s v="Unknown"/>
    <n v="6314"/>
    <n v="24"/>
    <x v="7"/>
    <x v="0"/>
    <s v="Young"/>
    <s v="Medium"/>
    <s v="HighRisk"/>
  </r>
  <r>
    <n v="34"/>
    <s v="Male"/>
    <n v="2"/>
    <s v="Own"/>
    <s v="rich"/>
    <s v="Moderate"/>
    <n v="3496"/>
    <n v="30"/>
    <x v="2"/>
    <x v="0"/>
    <s v="Senior"/>
    <s v="Medium"/>
    <s v="Medium Risk"/>
  </r>
  <r>
    <n v="27"/>
    <s v="Female"/>
    <n v="2"/>
    <s v="Own"/>
    <s v="Little"/>
    <s v="Unknown"/>
    <n v="3609"/>
    <n v="48"/>
    <x v="4"/>
    <x v="1"/>
    <s v="Young"/>
    <s v="Long"/>
    <s v="Medium Risk"/>
  </r>
  <r>
    <n v="43"/>
    <s v="Male"/>
    <n v="2"/>
    <s v="Rent"/>
    <s v="Little"/>
    <s v="Little"/>
    <n v="4843"/>
    <n v="12"/>
    <x v="3"/>
    <x v="0"/>
    <s v="Senior"/>
    <s v="Medium"/>
    <s v="Medium Risk"/>
  </r>
  <r>
    <n v="47"/>
    <s v="Male"/>
    <n v="2"/>
    <s v="Own"/>
    <s v="Little"/>
    <s v="rich"/>
    <n v="3017"/>
    <n v="30"/>
    <x v="0"/>
    <x v="0"/>
    <s v="Senior"/>
    <s v="Medium"/>
    <s v="Medium Risk"/>
  </r>
  <r>
    <n v="27"/>
    <s v="Male"/>
    <n v="1"/>
    <s v="Own"/>
    <s v="Moderate"/>
    <s v="Unknown"/>
    <n v="4139"/>
    <n v="24"/>
    <x v="4"/>
    <x v="0"/>
    <s v="Young"/>
    <s v="Medium"/>
    <s v="Medium Risk"/>
  </r>
  <r>
    <n v="31"/>
    <s v="Male"/>
    <n v="2"/>
    <s v="Own"/>
    <s v="Moderate"/>
    <s v="Unknown"/>
    <n v="5742"/>
    <n v="36"/>
    <x v="4"/>
    <x v="2"/>
    <s v="Senior"/>
    <s v="Long"/>
    <s v="Medium Risk"/>
  </r>
  <r>
    <n v="42"/>
    <s v="Male"/>
    <n v="3"/>
    <s v="Own"/>
    <s v="Little"/>
    <s v="Unknown"/>
    <n v="10366"/>
    <n v="60"/>
    <x v="3"/>
    <x v="1"/>
    <s v="Senior"/>
    <s v="Long"/>
    <s v="HighRisk"/>
  </r>
  <r>
    <n v="24"/>
    <s v="Male"/>
    <n v="2"/>
    <s v="Own"/>
    <s v="Quite rich"/>
    <s v="Unknown"/>
    <n v="2080"/>
    <n v="6"/>
    <x v="3"/>
    <x v="0"/>
    <s v="Young"/>
    <s v="Short"/>
    <s v="Low Risk"/>
  </r>
  <r>
    <n v="41"/>
    <s v="Male"/>
    <n v="1"/>
    <s v="Own"/>
    <s v="Quite rich"/>
    <s v="Unknown"/>
    <n v="2580"/>
    <n v="21"/>
    <x v="4"/>
    <x v="0"/>
    <s v="Senior"/>
    <s v="Medium"/>
    <s v="Low Risk"/>
  </r>
  <r>
    <n v="26"/>
    <s v="Female"/>
    <n v="3"/>
    <s v="Rent"/>
    <s v="Little"/>
    <s v="Unknown"/>
    <n v="4530"/>
    <n v="30"/>
    <x v="0"/>
    <x v="2"/>
    <s v="Young"/>
    <s v="Medium"/>
    <s v="Medium Risk"/>
  </r>
  <r>
    <n v="33"/>
    <s v="Male"/>
    <n v="2"/>
    <s v="Own"/>
    <s v="Little"/>
    <s v="Unknown"/>
    <n v="5150"/>
    <n v="24"/>
    <x v="2"/>
    <x v="0"/>
    <s v="Senior"/>
    <s v="Medium"/>
    <s v="Medium Risk"/>
  </r>
  <r>
    <n v="24"/>
    <s v="Male"/>
    <n v="2"/>
    <s v="Own"/>
    <s v="Moderate"/>
    <s v="Moderate"/>
    <n v="5595"/>
    <n v="72"/>
    <x v="0"/>
    <x v="1"/>
    <s v="Young"/>
    <s v="Long"/>
    <s v="Medium Risk"/>
  </r>
  <r>
    <n v="64"/>
    <s v="Male"/>
    <n v="1"/>
    <s v="Rent"/>
    <s v="Little"/>
    <s v="Little"/>
    <n v="2384"/>
    <n v="24"/>
    <x v="0"/>
    <x v="0"/>
    <s v="Adult"/>
    <s v="Medium"/>
    <s v="Low Risk"/>
  </r>
  <r>
    <n v="26"/>
    <s v="Female"/>
    <n v="2"/>
    <s v="Own"/>
    <s v="Little"/>
    <s v="Unknown"/>
    <n v="1453"/>
    <n v="18"/>
    <x v="0"/>
    <x v="0"/>
    <s v="Young"/>
    <s v="Medium"/>
    <s v="Low Risk"/>
  </r>
  <r>
    <n v="56"/>
    <s v="Female"/>
    <n v="2"/>
    <s v="Own"/>
    <s v="Little"/>
    <s v="Unknown"/>
    <n v="1538"/>
    <n v="6"/>
    <x v="1"/>
    <x v="0"/>
    <s v="Adult"/>
    <s v="Short"/>
    <s v="Low Risk"/>
  </r>
  <r>
    <n v="37"/>
    <s v="Male"/>
    <n v="2"/>
    <s v="Free"/>
    <s v="Unknown"/>
    <s v="Unknown"/>
    <n v="2279"/>
    <n v="12"/>
    <x v="0"/>
    <x v="0"/>
    <s v="Senior"/>
    <s v="Medium"/>
    <s v="Low Risk"/>
  </r>
  <r>
    <n v="33"/>
    <s v="Male"/>
    <n v="2"/>
    <s v="Own"/>
    <s v="Little"/>
    <s v="Unknown"/>
    <n v="1478"/>
    <n v="15"/>
    <x v="0"/>
    <x v="0"/>
    <s v="Senior"/>
    <s v="Medium"/>
    <s v="Low Risk"/>
  </r>
  <r>
    <n v="47"/>
    <s v="Male"/>
    <n v="2"/>
    <s v="Free"/>
    <s v="Little"/>
    <s v="Unknown"/>
    <n v="5103"/>
    <n v="24"/>
    <x v="0"/>
    <x v="0"/>
    <s v="Senior"/>
    <s v="Medium"/>
    <s v="Medium Risk"/>
  </r>
  <r>
    <n v="31"/>
    <s v="Male"/>
    <n v="1"/>
    <s v="Own"/>
    <s v="Moderate"/>
    <s v="Moderate"/>
    <n v="9857"/>
    <n v="36"/>
    <x v="4"/>
    <x v="1"/>
    <s v="Senior"/>
    <s v="Long"/>
    <s v="HighRisk"/>
  </r>
  <r>
    <n v="34"/>
    <s v="Male"/>
    <n v="2"/>
    <s v="Free"/>
    <s v="Unknown"/>
    <s v="Unknown"/>
    <n v="6527"/>
    <n v="60"/>
    <x v="3"/>
    <x v="1"/>
    <s v="Senior"/>
    <s v="Long"/>
    <s v="HighRisk"/>
  </r>
  <r>
    <n v="27"/>
    <s v="Male"/>
    <n v="2"/>
    <s v="Own"/>
    <s v="Unknown"/>
    <s v="rich"/>
    <n v="1347"/>
    <n v="10"/>
    <x v="0"/>
    <x v="0"/>
    <s v="Young"/>
    <s v="Short"/>
    <s v="Low Risk"/>
  </r>
  <r>
    <n v="30"/>
    <s v="Male"/>
    <n v="2"/>
    <s v="Free"/>
    <s v="Moderate"/>
    <s v="Moderate"/>
    <n v="2862"/>
    <n v="36"/>
    <x v="3"/>
    <x v="0"/>
    <s v="Senior"/>
    <s v="Long"/>
    <s v="Low Risk"/>
  </r>
  <r>
    <n v="35"/>
    <s v="Male"/>
    <n v="2"/>
    <s v="Own"/>
    <s v="Moderate"/>
    <s v="Unknown"/>
    <n v="2753"/>
    <n v="9"/>
    <x v="0"/>
    <x v="0"/>
    <s v="Senior"/>
    <s v="Short"/>
    <s v="Low Risk"/>
  </r>
  <r>
    <n v="31"/>
    <s v="Male"/>
    <n v="2"/>
    <s v="Own"/>
    <s v="rich"/>
    <s v="Little"/>
    <n v="3651"/>
    <n v="12"/>
    <x v="3"/>
    <x v="0"/>
    <s v="Senior"/>
    <s v="Medium"/>
    <s v="Medium Risk"/>
  </r>
  <r>
    <n v="25"/>
    <s v="Male"/>
    <n v="2"/>
    <s v="Own"/>
    <s v="Little"/>
    <s v="Little"/>
    <n v="975"/>
    <n v="15"/>
    <x v="2"/>
    <x v="0"/>
    <s v="Young"/>
    <s v="Medium"/>
    <s v="Low Risk"/>
  </r>
  <r>
    <n v="25"/>
    <s v="Female"/>
    <n v="1"/>
    <s v="Own"/>
    <s v="Moderate"/>
    <s v="Moderate"/>
    <n v="2631"/>
    <n v="15"/>
    <x v="6"/>
    <x v="0"/>
    <s v="Young"/>
    <s v="Medium"/>
    <s v="Low Risk"/>
  </r>
  <r>
    <n v="29"/>
    <s v="Male"/>
    <n v="2"/>
    <s v="Own"/>
    <s v="Moderate"/>
    <s v="Moderate"/>
    <n v="2896"/>
    <n v="24"/>
    <x v="0"/>
    <x v="0"/>
    <s v="Young"/>
    <s v="Medium"/>
    <s v="Low Risk"/>
  </r>
  <r>
    <n v="44"/>
    <s v="Male"/>
    <n v="1"/>
    <s v="Own"/>
    <s v="Unknown"/>
    <s v="Little"/>
    <n v="4716"/>
    <n v="6"/>
    <x v="3"/>
    <x v="0"/>
    <s v="Senior"/>
    <s v="Short"/>
    <s v="Medium Risk"/>
  </r>
  <r>
    <n v="28"/>
    <s v="Male"/>
    <n v="2"/>
    <s v="Own"/>
    <s v="Little"/>
    <s v="Unknown"/>
    <n v="2284"/>
    <n v="24"/>
    <x v="0"/>
    <x v="0"/>
    <s v="Young"/>
    <s v="Medium"/>
    <s v="Low Risk"/>
  </r>
  <r>
    <n v="50"/>
    <s v="Male"/>
    <n v="2"/>
    <s v="Rent"/>
    <s v="Quite rich"/>
    <s v="Unknown"/>
    <n v="1236"/>
    <n v="6"/>
    <x v="3"/>
    <x v="0"/>
    <s v="Senior"/>
    <s v="Short"/>
    <s v="Low Risk"/>
  </r>
  <r>
    <n v="29"/>
    <s v="Male"/>
    <n v="2"/>
    <s v="Own"/>
    <s v="Little"/>
    <s v="Moderate"/>
    <n v="1103"/>
    <n v="12"/>
    <x v="0"/>
    <x v="0"/>
    <s v="Young"/>
    <s v="Medium"/>
    <s v="Low Risk"/>
  </r>
  <r>
    <n v="38"/>
    <s v="Female"/>
    <n v="0"/>
    <s v="Own"/>
    <s v="Little"/>
    <s v="Unknown"/>
    <n v="926"/>
    <n v="12"/>
    <x v="3"/>
    <x v="0"/>
    <s v="Senior"/>
    <s v="Medium"/>
    <s v="Low Risk"/>
  </r>
  <r>
    <n v="24"/>
    <s v="Male"/>
    <n v="2"/>
    <s v="Own"/>
    <s v="Little"/>
    <s v="Unknown"/>
    <n v="1800"/>
    <n v="18"/>
    <x v="0"/>
    <x v="0"/>
    <s v="Young"/>
    <s v="Medium"/>
    <s v="Low Risk"/>
  </r>
  <r>
    <n v="40"/>
    <s v="Male"/>
    <n v="3"/>
    <s v="Rent"/>
    <s v="Little"/>
    <s v="rich"/>
    <n v="1905"/>
    <n v="15"/>
    <x v="1"/>
    <x v="0"/>
    <s v="Senior"/>
    <s v="Medium"/>
    <s v="Low Risk"/>
  </r>
  <r>
    <n v="29"/>
    <s v="Female"/>
    <n v="1"/>
    <s v="Rent"/>
    <s v="Quite rich"/>
    <s v="Unknown"/>
    <n v="1123"/>
    <n v="12"/>
    <x v="2"/>
    <x v="0"/>
    <s v="Young"/>
    <s v="Medium"/>
    <s v="Low Risk"/>
  </r>
  <r>
    <n v="46"/>
    <s v="Male"/>
    <n v="2"/>
    <s v="Free"/>
    <s v="Little"/>
    <s v="Little"/>
    <n v="6331"/>
    <n v="48"/>
    <x v="3"/>
    <x v="1"/>
    <s v="Senior"/>
    <s v="Long"/>
    <s v="HighRisk"/>
  </r>
  <r>
    <n v="47"/>
    <s v="Female"/>
    <n v="2"/>
    <s v="Free"/>
    <s v="Moderate"/>
    <s v="rich"/>
    <n v="1377"/>
    <n v="24"/>
    <x v="0"/>
    <x v="0"/>
    <s v="Senior"/>
    <s v="Medium"/>
    <s v="Low Risk"/>
  </r>
  <r>
    <n v="41"/>
    <s v="Male"/>
    <n v="2"/>
    <s v="Own"/>
    <s v="Moderate"/>
    <s v="Moderate"/>
    <n v="2503"/>
    <n v="30"/>
    <x v="4"/>
    <x v="0"/>
    <s v="Senior"/>
    <s v="Medium"/>
    <s v="Low Risk"/>
  </r>
  <r>
    <n v="32"/>
    <s v="Female"/>
    <n v="2"/>
    <s v="Own"/>
    <s v="Little"/>
    <s v="Moderate"/>
    <n v="2528"/>
    <n v="27"/>
    <x v="4"/>
    <x v="0"/>
    <s v="Senior"/>
    <s v="Medium"/>
    <s v="Low Risk"/>
  </r>
  <r>
    <n v="35"/>
    <s v="Female"/>
    <n v="2"/>
    <s v="Free"/>
    <s v="Quite rich"/>
    <s v="Unknown"/>
    <n v="5324"/>
    <n v="15"/>
    <x v="3"/>
    <x v="0"/>
    <s v="Senior"/>
    <s v="Medium"/>
    <s v="Medium Risk"/>
  </r>
  <r>
    <n v="24"/>
    <s v="Male"/>
    <n v="2"/>
    <s v="Own"/>
    <s v="Moderate"/>
    <s v="Moderate"/>
    <n v="6560"/>
    <n v="48"/>
    <x v="3"/>
    <x v="1"/>
    <s v="Young"/>
    <s v="Long"/>
    <s v="HighRisk"/>
  </r>
  <r>
    <n v="25"/>
    <s v="Female"/>
    <n v="2"/>
    <s v="Rent"/>
    <s v="Little"/>
    <s v="Moderate"/>
    <n v="2969"/>
    <n v="12"/>
    <x v="2"/>
    <x v="0"/>
    <s v="Young"/>
    <s v="Medium"/>
    <s v="Low Risk"/>
  </r>
  <r>
    <n v="25"/>
    <s v="Female"/>
    <n v="2"/>
    <s v="Own"/>
    <s v="Little"/>
    <s v="Moderate"/>
    <n v="1206"/>
    <n v="9"/>
    <x v="0"/>
    <x v="0"/>
    <s v="Young"/>
    <s v="Short"/>
    <s v="Low Risk"/>
  </r>
  <r>
    <n v="37"/>
    <s v="Male"/>
    <n v="1"/>
    <s v="Own"/>
    <s v="Little"/>
    <s v="Moderate"/>
    <n v="2118"/>
    <n v="9"/>
    <x v="0"/>
    <x v="0"/>
    <s v="Senior"/>
    <s v="Short"/>
    <s v="Low Risk"/>
  </r>
  <r>
    <n v="32"/>
    <s v="Male"/>
    <n v="3"/>
    <s v="Own"/>
    <s v="Quite rich"/>
    <s v="Unknown"/>
    <n v="629"/>
    <n v="18"/>
    <x v="0"/>
    <x v="0"/>
    <s v="Senior"/>
    <s v="Medium"/>
    <s v="Low Risk"/>
  </r>
  <r>
    <n v="35"/>
    <s v="Female"/>
    <n v="2"/>
    <s v="Free"/>
    <s v="Little"/>
    <s v="Little"/>
    <n v="1198"/>
    <n v="6"/>
    <x v="1"/>
    <x v="0"/>
    <s v="Senior"/>
    <s v="Short"/>
    <s v="Low Risk"/>
  </r>
  <r>
    <n v="46"/>
    <s v="Male"/>
    <n v="3"/>
    <s v="Own"/>
    <s v="Unknown"/>
    <s v="Unknown"/>
    <n v="2476"/>
    <n v="21"/>
    <x v="3"/>
    <x v="0"/>
    <s v="Senior"/>
    <s v="Medium"/>
    <s v="Low Risk"/>
  </r>
  <r>
    <n v="25"/>
    <s v="Male"/>
    <n v="1"/>
    <s v="Own"/>
    <s v="Little"/>
    <s v="Little"/>
    <n v="1138"/>
    <n v="9"/>
    <x v="0"/>
    <x v="0"/>
    <s v="Young"/>
    <s v="Short"/>
    <s v="Low Risk"/>
  </r>
  <r>
    <n v="27"/>
    <s v="Male"/>
    <n v="3"/>
    <s v="Own"/>
    <s v="Little"/>
    <s v="Moderate"/>
    <n v="14027"/>
    <n v="60"/>
    <x v="3"/>
    <x v="1"/>
    <s v="Young"/>
    <s v="Long"/>
    <s v="HighRisk"/>
  </r>
  <r>
    <n v="63"/>
    <s v="Male"/>
    <n v="2"/>
    <s v="Own"/>
    <s v="Unknown"/>
    <s v="Unknown"/>
    <n v="7596"/>
    <n v="30"/>
    <x v="3"/>
    <x v="1"/>
    <s v="Adult"/>
    <s v="Medium"/>
    <s v="HighRisk"/>
  </r>
  <r>
    <n v="40"/>
    <s v="Male"/>
    <n v="2"/>
    <s v="Own"/>
    <s v="Unknown"/>
    <s v="Unknown"/>
    <n v="3077"/>
    <n v="30"/>
    <x v="0"/>
    <x v="0"/>
    <s v="Senior"/>
    <s v="Medium"/>
    <s v="Medium Risk"/>
  </r>
  <r>
    <n v="32"/>
    <s v="Male"/>
    <n v="3"/>
    <s v="Free"/>
    <s v="Little"/>
    <s v="Unknown"/>
    <n v="1505"/>
    <n v="18"/>
    <x v="0"/>
    <x v="0"/>
    <s v="Senior"/>
    <s v="Medium"/>
    <s v="Low Risk"/>
  </r>
  <r>
    <n v="31"/>
    <s v="Male"/>
    <n v="2"/>
    <s v="Own"/>
    <s v="Unknown"/>
    <s v="rich"/>
    <n v="3148"/>
    <n v="24"/>
    <x v="0"/>
    <x v="0"/>
    <s v="Senior"/>
    <s v="Medium"/>
    <s v="Medium Risk"/>
  </r>
  <r>
    <n v="31"/>
    <s v="Male"/>
    <n v="2"/>
    <s v="Own"/>
    <s v="Moderate"/>
    <s v="Moderate"/>
    <n v="6148"/>
    <n v="20"/>
    <x v="3"/>
    <x v="0"/>
    <s v="Senior"/>
    <s v="Medium"/>
    <s v="HighRisk"/>
  </r>
  <r>
    <n v="34"/>
    <s v="Male"/>
    <n v="3"/>
    <s v="Own"/>
    <s v="Little"/>
    <s v="rich"/>
    <n v="1337"/>
    <n v="9"/>
    <x v="0"/>
    <x v="0"/>
    <s v="Senior"/>
    <s v="Short"/>
    <s v="Low Risk"/>
  </r>
  <r>
    <n v="24"/>
    <s v="Female"/>
    <n v="2"/>
    <s v="Rent"/>
    <s v="rich"/>
    <s v="Moderate"/>
    <n v="433"/>
    <n v="6"/>
    <x v="1"/>
    <x v="0"/>
    <s v="Young"/>
    <s v="Short"/>
    <s v="Low Risk"/>
  </r>
  <r>
    <n v="24"/>
    <s v="Female"/>
    <n v="1"/>
    <s v="Own"/>
    <s v="Little"/>
    <s v="Little"/>
    <n v="1228"/>
    <n v="12"/>
    <x v="3"/>
    <x v="0"/>
    <s v="Young"/>
    <s v="Medium"/>
    <s v="Low Risk"/>
  </r>
  <r>
    <n v="66"/>
    <s v="Female"/>
    <n v="1"/>
    <s v="Own"/>
    <s v="Quite rich"/>
    <s v="Moderate"/>
    <n v="790"/>
    <n v="9"/>
    <x v="0"/>
    <x v="0"/>
    <s v="Adult"/>
    <s v="Short"/>
    <s v="Low Risk"/>
  </r>
  <r>
    <n v="21"/>
    <s v="Female"/>
    <n v="2"/>
    <s v="Rent"/>
    <s v="Little"/>
    <s v="Unknown"/>
    <n v="2570"/>
    <n v="27"/>
    <x v="3"/>
    <x v="0"/>
    <s v="Young"/>
    <s v="Medium"/>
    <s v="Low Risk"/>
  </r>
  <r>
    <n v="41"/>
    <s v="Female"/>
    <n v="1"/>
    <s v="Own"/>
    <s v="rich"/>
    <s v="Unknown"/>
    <n v="250"/>
    <n v="6"/>
    <x v="3"/>
    <x v="0"/>
    <s v="Senior"/>
    <s v="Short"/>
    <s v="Low Risk"/>
  </r>
  <r>
    <n v="47"/>
    <s v="Male"/>
    <n v="1"/>
    <s v="Own"/>
    <s v="Quite rich"/>
    <s v="Unknown"/>
    <n v="1316"/>
    <n v="15"/>
    <x v="0"/>
    <x v="0"/>
    <s v="Senior"/>
    <s v="Medium"/>
    <s v="Low Risk"/>
  </r>
  <r>
    <n v="25"/>
    <s v="Female"/>
    <n v="2"/>
    <s v="Rent"/>
    <s v="Little"/>
    <s v="Little"/>
    <n v="1882"/>
    <n v="18"/>
    <x v="0"/>
    <x v="0"/>
    <s v="Young"/>
    <s v="Medium"/>
    <s v="Low Risk"/>
  </r>
  <r>
    <n v="59"/>
    <s v="Female"/>
    <n v="2"/>
    <s v="Rent"/>
    <s v="Little"/>
    <s v="Moderate"/>
    <n v="6416"/>
    <n v="48"/>
    <x v="4"/>
    <x v="1"/>
    <s v="Adult"/>
    <s v="Long"/>
    <s v="HighRisk"/>
  </r>
  <r>
    <n v="36"/>
    <s v="Male"/>
    <n v="2"/>
    <s v="Own"/>
    <s v="rich"/>
    <s v="rich"/>
    <n v="1275"/>
    <n v="24"/>
    <x v="4"/>
    <x v="0"/>
    <s v="Senior"/>
    <s v="Medium"/>
    <s v="Low Risk"/>
  </r>
  <r>
    <n v="33"/>
    <s v="Male"/>
    <n v="2"/>
    <s v="Own"/>
    <s v="Little"/>
    <s v="Moderate"/>
    <n v="6403"/>
    <n v="24"/>
    <x v="0"/>
    <x v="0"/>
    <s v="Senior"/>
    <s v="Medium"/>
    <s v="HighRisk"/>
  </r>
  <r>
    <n v="21"/>
    <s v="Male"/>
    <n v="1"/>
    <s v="Rent"/>
    <s v="Little"/>
    <s v="Little"/>
    <n v="1987"/>
    <n v="24"/>
    <x v="0"/>
    <x v="0"/>
    <s v="Young"/>
    <s v="Medium"/>
    <s v="Low Risk"/>
  </r>
  <r>
    <n v="44"/>
    <s v="Female"/>
    <n v="1"/>
    <s v="Own"/>
    <s v="Little"/>
    <s v="Moderate"/>
    <n v="760"/>
    <n v="8"/>
    <x v="0"/>
    <x v="0"/>
    <s v="Senior"/>
    <s v="Short"/>
    <s v="Low Risk"/>
  </r>
  <r>
    <n v="28"/>
    <s v="Female"/>
    <n v="2"/>
    <s v="Rent"/>
    <s v="rich"/>
    <s v="Unknown"/>
    <n v="2603"/>
    <n v="24"/>
    <x v="3"/>
    <x v="0"/>
    <s v="Young"/>
    <s v="Medium"/>
    <s v="Low Risk"/>
  </r>
  <r>
    <n v="37"/>
    <s v="Female"/>
    <n v="2"/>
    <s v="Own"/>
    <s v="Little"/>
    <s v="Unknown"/>
    <n v="3380"/>
    <n v="4"/>
    <x v="3"/>
    <x v="0"/>
    <s v="Senior"/>
    <s v="Short"/>
    <s v="Medium Risk"/>
  </r>
  <r>
    <n v="29"/>
    <s v="Female"/>
    <n v="0"/>
    <s v="Own"/>
    <s v="Unknown"/>
    <s v="Moderate"/>
    <n v="3990"/>
    <n v="36"/>
    <x v="5"/>
    <x v="0"/>
    <s v="Young"/>
    <s v="Long"/>
    <s v="Medium Risk"/>
  </r>
  <r>
    <n v="23"/>
    <s v="Female"/>
    <n v="3"/>
    <s v="Rent"/>
    <s v="Little"/>
    <s v="Moderate"/>
    <n v="11560"/>
    <n v="24"/>
    <x v="3"/>
    <x v="1"/>
    <s v="Young"/>
    <s v="Medium"/>
    <s v="HighRisk"/>
  </r>
  <r>
    <n v="35"/>
    <s v="Male"/>
    <n v="1"/>
    <s v="Own"/>
    <s v="Moderate"/>
    <s v="Little"/>
    <n v="4380"/>
    <n v="18"/>
    <x v="3"/>
    <x v="0"/>
    <s v="Senior"/>
    <s v="Medium"/>
    <s v="Medium Risk"/>
  </r>
  <r>
    <n v="45"/>
    <s v="Male"/>
    <n v="3"/>
    <s v="Own"/>
    <s v="Little"/>
    <s v="Unknown"/>
    <n v="6761"/>
    <n v="6"/>
    <x v="3"/>
    <x v="0"/>
    <s v="Senior"/>
    <s v="Short"/>
    <s v="HighRisk"/>
  </r>
  <r>
    <n v="26"/>
    <s v="Female"/>
    <n v="1"/>
    <s v="Rent"/>
    <s v="Moderate"/>
    <s v="Moderate"/>
    <n v="4280"/>
    <n v="30"/>
    <x v="4"/>
    <x v="2"/>
    <s v="Young"/>
    <s v="Medium"/>
    <s v="Medium Risk"/>
  </r>
  <r>
    <n v="32"/>
    <s v="Male"/>
    <n v="2"/>
    <s v="Own"/>
    <s v="Moderate"/>
    <s v="Little"/>
    <n v="2325"/>
    <n v="24"/>
    <x v="3"/>
    <x v="0"/>
    <s v="Senior"/>
    <s v="Medium"/>
    <s v="Low Risk"/>
  </r>
  <r>
    <n v="23"/>
    <s v="Male"/>
    <n v="1"/>
    <s v="Own"/>
    <s v="Little"/>
    <s v="Moderate"/>
    <n v="1048"/>
    <n v="10"/>
    <x v="0"/>
    <x v="0"/>
    <s v="Young"/>
    <s v="Short"/>
    <s v="Low Risk"/>
  </r>
  <r>
    <n v="41"/>
    <s v="Male"/>
    <n v="2"/>
    <s v="Own"/>
    <s v="Unknown"/>
    <s v="Unknown"/>
    <n v="3160"/>
    <n v="21"/>
    <x v="0"/>
    <x v="0"/>
    <s v="Senior"/>
    <s v="Medium"/>
    <s v="Medium Risk"/>
  </r>
  <r>
    <n v="22"/>
    <s v="Male"/>
    <n v="2"/>
    <s v="Own"/>
    <s v="Quite rich"/>
    <s v="Little"/>
    <n v="2483"/>
    <n v="24"/>
    <x v="2"/>
    <x v="0"/>
    <s v="Young"/>
    <s v="Medium"/>
    <s v="Low Risk"/>
  </r>
  <r>
    <n v="30"/>
    <s v="Male"/>
    <n v="3"/>
    <s v="Own"/>
    <s v="Unknown"/>
    <s v="Little"/>
    <n v="14179"/>
    <n v="39"/>
    <x v="2"/>
    <x v="1"/>
    <s v="Senior"/>
    <s v="Long"/>
    <s v="HighRisk"/>
  </r>
  <r>
    <n v="28"/>
    <s v="Male"/>
    <n v="1"/>
    <s v="Own"/>
    <s v="Little"/>
    <s v="Little"/>
    <n v="1797"/>
    <n v="13"/>
    <x v="4"/>
    <x v="0"/>
    <s v="Young"/>
    <s v="Medium"/>
    <s v="Low Risk"/>
  </r>
  <r>
    <n v="23"/>
    <s v="Female"/>
    <n v="2"/>
    <s v="Rent"/>
    <s v="Little"/>
    <s v="Little"/>
    <n v="2511"/>
    <n v="15"/>
    <x v="3"/>
    <x v="0"/>
    <s v="Young"/>
    <s v="Medium"/>
    <s v="Low Risk"/>
  </r>
  <r>
    <n v="37"/>
    <s v="Female"/>
    <n v="1"/>
    <s v="Own"/>
    <s v="Little"/>
    <s v="Little"/>
    <n v="1274"/>
    <n v="12"/>
    <x v="3"/>
    <x v="0"/>
    <s v="Senior"/>
    <s v="Medium"/>
    <s v="Low Risk"/>
  </r>
  <r>
    <n v="26"/>
    <s v="Male"/>
    <n v="2"/>
    <s v="Own"/>
    <s v="Unknown"/>
    <s v="Unknown"/>
    <n v="5248"/>
    <n v="21"/>
    <x v="3"/>
    <x v="0"/>
    <s v="Young"/>
    <s v="Medium"/>
    <s v="Medium Risk"/>
  </r>
  <r>
    <n v="33"/>
    <s v="Male"/>
    <n v="2"/>
    <s v="Own"/>
    <s v="Little"/>
    <s v="Unknown"/>
    <n v="3029"/>
    <n v="15"/>
    <x v="3"/>
    <x v="0"/>
    <s v="Senior"/>
    <s v="Medium"/>
    <s v="Medium Risk"/>
  </r>
  <r>
    <n v="49"/>
    <s v="Female"/>
    <n v="2"/>
    <s v="Own"/>
    <s v="Little"/>
    <s v="Little"/>
    <n v="428"/>
    <n v="6"/>
    <x v="2"/>
    <x v="0"/>
    <s v="Senior"/>
    <s v="Short"/>
    <s v="Low Risk"/>
  </r>
  <r>
    <n v="23"/>
    <s v="Female"/>
    <n v="1"/>
    <s v="Own"/>
    <s v="Little"/>
    <s v="Little"/>
    <n v="976"/>
    <n v="18"/>
    <x v="3"/>
    <x v="0"/>
    <s v="Young"/>
    <s v="Medium"/>
    <s v="Low Risk"/>
  </r>
  <r>
    <n v="23"/>
    <s v="Female"/>
    <n v="1"/>
    <s v="Rent"/>
    <s v="Moderate"/>
    <s v="Moderate"/>
    <n v="841"/>
    <n v="12"/>
    <x v="4"/>
    <x v="0"/>
    <s v="Young"/>
    <s v="Medium"/>
    <s v="Low Risk"/>
  </r>
  <r>
    <n v="25"/>
    <s v="Female"/>
    <n v="2"/>
    <s v="Own"/>
    <s v="Little"/>
    <s v="Unknown"/>
    <n v="5771"/>
    <n v="30"/>
    <x v="0"/>
    <x v="2"/>
    <s v="Young"/>
    <s v="Medium"/>
    <s v="Medium Risk"/>
  </r>
  <r>
    <n v="55"/>
    <s v="Male"/>
    <n v="2"/>
    <s v="Free"/>
    <s v="rich"/>
    <s v="Unknown"/>
    <n v="1555"/>
    <n v="12"/>
    <x v="6"/>
    <x v="0"/>
    <s v="Adult"/>
    <s v="Medium"/>
    <s v="Low Risk"/>
  </r>
  <r>
    <n v="32"/>
    <s v="Female"/>
    <n v="2"/>
    <s v="Rent"/>
    <s v="Unknown"/>
    <s v="Little"/>
    <n v="1285"/>
    <n v="24"/>
    <x v="3"/>
    <x v="0"/>
    <s v="Senior"/>
    <s v="Medium"/>
    <s v="Low Risk"/>
  </r>
  <r>
    <n v="74"/>
    <s v="Male"/>
    <n v="0"/>
    <s v="Own"/>
    <s v="Little"/>
    <s v="rich"/>
    <n v="1299"/>
    <n v="6"/>
    <x v="3"/>
    <x v="0"/>
    <s v="Adult"/>
    <s v="Short"/>
    <s v="Low Risk"/>
  </r>
  <r>
    <n v="39"/>
    <s v="Male"/>
    <n v="2"/>
    <s v="Free"/>
    <s v="Unknown"/>
    <s v="rich"/>
    <n v="1271"/>
    <n v="15"/>
    <x v="0"/>
    <x v="0"/>
    <s v="Senior"/>
    <s v="Medium"/>
    <s v="Low Risk"/>
  </r>
  <r>
    <n v="31"/>
    <s v="Male"/>
    <n v="2"/>
    <s v="Own"/>
    <s v="Little"/>
    <s v="Unknown"/>
    <n v="1393"/>
    <n v="24"/>
    <x v="3"/>
    <x v="0"/>
    <s v="Senior"/>
    <s v="Medium"/>
    <s v="Low Risk"/>
  </r>
  <r>
    <n v="35"/>
    <s v="Male"/>
    <n v="2"/>
    <s v="Own"/>
    <s v="Little"/>
    <s v="Little"/>
    <n v="691"/>
    <n v="12"/>
    <x v="3"/>
    <x v="0"/>
    <s v="Senior"/>
    <s v="Medium"/>
    <s v="Low Risk"/>
  </r>
  <r>
    <n v="59"/>
    <s v="Female"/>
    <n v="2"/>
    <s v="Own"/>
    <s v="Unknown"/>
    <s v="Unknown"/>
    <n v="5045"/>
    <n v="15"/>
    <x v="3"/>
    <x v="0"/>
    <s v="Adult"/>
    <s v="Medium"/>
    <s v="Medium Risk"/>
  </r>
  <r>
    <n v="24"/>
    <s v="Female"/>
    <n v="2"/>
    <s v="Rent"/>
    <s v="Little"/>
    <s v="Little"/>
    <n v="2124"/>
    <n v="18"/>
    <x v="2"/>
    <x v="0"/>
    <s v="Young"/>
    <s v="Medium"/>
    <s v="Low Risk"/>
  </r>
  <r>
    <n v="24"/>
    <s v="Male"/>
    <n v="1"/>
    <s v="Own"/>
    <s v="Little"/>
    <s v="Little"/>
    <n v="2214"/>
    <n v="12"/>
    <x v="0"/>
    <x v="0"/>
    <s v="Young"/>
    <s v="Medium"/>
    <s v="Low Risk"/>
  </r>
  <r>
    <n v="30"/>
    <s v="Male"/>
    <n v="3"/>
    <s v="Free"/>
    <s v="Unknown"/>
    <s v="Unknown"/>
    <n v="12680"/>
    <n v="21"/>
    <x v="3"/>
    <x v="1"/>
    <s v="Senior"/>
    <s v="Medium"/>
    <s v="HighRisk"/>
  </r>
  <r>
    <n v="27"/>
    <s v="Male"/>
    <n v="2"/>
    <s v="Own"/>
    <s v="Moderate"/>
    <s v="Unknown"/>
    <n v="2463"/>
    <n v="24"/>
    <x v="3"/>
    <x v="0"/>
    <s v="Young"/>
    <s v="Medium"/>
    <s v="Low Risk"/>
  </r>
  <r>
    <n v="40"/>
    <s v="Male"/>
    <n v="1"/>
    <s v="Own"/>
    <s v="Little"/>
    <s v="Moderate"/>
    <n v="1155"/>
    <n v="12"/>
    <x v="0"/>
    <x v="0"/>
    <s v="Senior"/>
    <s v="Medium"/>
    <s v="Low Risk"/>
  </r>
  <r>
    <n v="31"/>
    <s v="Male"/>
    <n v="1"/>
    <s v="Own"/>
    <s v="Little"/>
    <s v="Little"/>
    <n v="3108"/>
    <n v="30"/>
    <x v="2"/>
    <x v="0"/>
    <s v="Senior"/>
    <s v="Medium"/>
    <s v="Medium Risk"/>
  </r>
  <r>
    <n v="31"/>
    <s v="Female"/>
    <n v="2"/>
    <s v="Rent"/>
    <s v="Unknown"/>
    <s v="Unknown"/>
    <n v="2901"/>
    <n v="10"/>
    <x v="3"/>
    <x v="0"/>
    <s v="Senior"/>
    <s v="Short"/>
    <s v="Low Risk"/>
  </r>
  <r>
    <n v="28"/>
    <s v="Male"/>
    <n v="2"/>
    <s v="Rent"/>
    <s v="Little"/>
    <s v="Moderate"/>
    <n v="3617"/>
    <n v="12"/>
    <x v="2"/>
    <x v="0"/>
    <s v="Young"/>
    <s v="Medium"/>
    <s v="Medium Risk"/>
  </r>
  <r>
    <n v="63"/>
    <s v="Male"/>
    <n v="1"/>
    <s v="Own"/>
    <s v="Little"/>
    <s v="Unknown"/>
    <n v="1655"/>
    <n v="12"/>
    <x v="0"/>
    <x v="0"/>
    <s v="Adult"/>
    <s v="Medium"/>
    <s v="Low Risk"/>
  </r>
  <r>
    <n v="26"/>
    <s v="Female"/>
    <n v="2"/>
    <s v="Rent"/>
    <s v="Unknown"/>
    <s v="Little"/>
    <n v="2812"/>
    <n v="24"/>
    <x v="3"/>
    <x v="0"/>
    <s v="Young"/>
    <s v="Medium"/>
    <s v="Low Risk"/>
  </r>
  <r>
    <n v="25"/>
    <s v="Female"/>
    <n v="3"/>
    <s v="Own"/>
    <s v="Little"/>
    <s v="Little"/>
    <n v="8065"/>
    <n v="36"/>
    <x v="1"/>
    <x v="1"/>
    <s v="Young"/>
    <s v="Long"/>
    <s v="HighRisk"/>
  </r>
  <r>
    <n v="36"/>
    <s v="Male"/>
    <n v="3"/>
    <s v="Own"/>
    <s v="Little"/>
    <s v="Unknown"/>
    <n v="3275"/>
    <n v="21"/>
    <x v="3"/>
    <x v="0"/>
    <s v="Senior"/>
    <s v="Medium"/>
    <s v="Medium Risk"/>
  </r>
  <r>
    <n v="52"/>
    <s v="Male"/>
    <n v="2"/>
    <s v="Own"/>
    <s v="Moderate"/>
    <s v="Unknown"/>
    <n v="2223"/>
    <n v="24"/>
    <x v="0"/>
    <x v="0"/>
    <s v="Adult"/>
    <s v="Medium"/>
    <s v="Low Risk"/>
  </r>
  <r>
    <n v="66"/>
    <s v="Male"/>
    <n v="0"/>
    <s v="Free"/>
    <s v="Quite rich"/>
    <s v="rich"/>
    <n v="1480"/>
    <n v="12"/>
    <x v="3"/>
    <x v="0"/>
    <s v="Adult"/>
    <s v="Medium"/>
    <s v="Low Risk"/>
  </r>
  <r>
    <n v="25"/>
    <s v="Female"/>
    <n v="2"/>
    <s v="Rent"/>
    <s v="Unknown"/>
    <s v="Little"/>
    <n v="1371"/>
    <n v="24"/>
    <x v="3"/>
    <x v="0"/>
    <s v="Young"/>
    <s v="Medium"/>
    <s v="Low Risk"/>
  </r>
  <r>
    <n v="37"/>
    <s v="Male"/>
    <n v="2"/>
    <s v="Own"/>
    <s v="Little"/>
    <s v="Unknown"/>
    <n v="3535"/>
    <n v="36"/>
    <x v="3"/>
    <x v="0"/>
    <s v="Senior"/>
    <s v="Long"/>
    <s v="Medium Risk"/>
  </r>
  <r>
    <n v="25"/>
    <s v="Female"/>
    <n v="2"/>
    <s v="Own"/>
    <s v="Little"/>
    <s v="Little"/>
    <n v="3509"/>
    <n v="18"/>
    <x v="0"/>
    <x v="0"/>
    <s v="Young"/>
    <s v="Medium"/>
    <s v="Medium Risk"/>
  </r>
  <r>
    <n v="38"/>
    <s v="Male"/>
    <n v="3"/>
    <s v="Own"/>
    <s v="rich"/>
    <s v="Unknown"/>
    <n v="5711"/>
    <n v="36"/>
    <x v="3"/>
    <x v="2"/>
    <s v="Senior"/>
    <s v="Long"/>
    <s v="Medium Risk"/>
  </r>
  <r>
    <n v="67"/>
    <s v="Female"/>
    <n v="2"/>
    <s v="Own"/>
    <s v="Little"/>
    <s v="Moderate"/>
    <n v="3872"/>
    <n v="18"/>
    <x v="6"/>
    <x v="0"/>
    <s v="Adult"/>
    <s v="Medium"/>
    <s v="Medium Risk"/>
  </r>
  <r>
    <n v="25"/>
    <s v="Male"/>
    <n v="2"/>
    <s v="Own"/>
    <s v="Little"/>
    <s v="Moderate"/>
    <n v="4933"/>
    <n v="39"/>
    <x v="0"/>
    <x v="1"/>
    <s v="Young"/>
    <s v="Long"/>
    <s v="Medium Risk"/>
  </r>
  <r>
    <n v="60"/>
    <s v="Male"/>
    <n v="2"/>
    <s v="Own"/>
    <s v="rich"/>
    <s v="Unknown"/>
    <n v="1940"/>
    <n v="24"/>
    <x v="3"/>
    <x v="0"/>
    <s v="Adult"/>
    <s v="Medium"/>
    <s v="Low Risk"/>
  </r>
  <r>
    <n v="31"/>
    <s v="Male"/>
    <n v="1"/>
    <s v="Own"/>
    <s v="Little"/>
    <s v="Moderate"/>
    <n v="1410"/>
    <n v="12"/>
    <x v="1"/>
    <x v="0"/>
    <s v="Senior"/>
    <s v="Medium"/>
    <s v="Low Risk"/>
  </r>
  <r>
    <n v="23"/>
    <s v="Female"/>
    <n v="1"/>
    <s v="Own"/>
    <s v="Moderate"/>
    <s v="Moderate"/>
    <n v="836"/>
    <n v="12"/>
    <x v="3"/>
    <x v="0"/>
    <s v="Young"/>
    <s v="Medium"/>
    <s v="Low Risk"/>
  </r>
  <r>
    <n v="60"/>
    <s v="Male"/>
    <n v="3"/>
    <s v="Own"/>
    <s v="Unknown"/>
    <s v="Moderate"/>
    <n v="6468"/>
    <n v="20"/>
    <x v="3"/>
    <x v="0"/>
    <s v="Adult"/>
    <s v="Medium"/>
    <s v="HighRisk"/>
  </r>
  <r>
    <n v="35"/>
    <s v="Male"/>
    <n v="1"/>
    <s v="Own"/>
    <s v="rich"/>
    <s v="Moderate"/>
    <n v="1941"/>
    <n v="18"/>
    <x v="4"/>
    <x v="0"/>
    <s v="Senior"/>
    <s v="Medium"/>
    <s v="Low Risk"/>
  </r>
  <r>
    <n v="40"/>
    <s v="Male"/>
    <n v="2"/>
    <s v="Own"/>
    <s v="Quite rich"/>
    <s v="Unknown"/>
    <n v="2675"/>
    <n v="22"/>
    <x v="0"/>
    <x v="0"/>
    <s v="Senior"/>
    <s v="Medium"/>
    <s v="Low Risk"/>
  </r>
  <r>
    <n v="38"/>
    <s v="Male"/>
    <n v="2"/>
    <s v="Own"/>
    <s v="Unknown"/>
    <s v="Unknown"/>
    <n v="2751"/>
    <n v="48"/>
    <x v="3"/>
    <x v="1"/>
    <s v="Senior"/>
    <s v="Long"/>
    <s v="Low Risk"/>
  </r>
  <r>
    <n v="50"/>
    <s v="Male"/>
    <n v="2"/>
    <s v="Free"/>
    <s v="Little"/>
    <s v="Moderate"/>
    <n v="6224"/>
    <n v="48"/>
    <x v="1"/>
    <x v="1"/>
    <s v="Senior"/>
    <s v="Long"/>
    <s v="HighRisk"/>
  </r>
  <r>
    <n v="27"/>
    <s v="Male"/>
    <n v="2"/>
    <s v="Own"/>
    <s v="Little"/>
    <s v="Little"/>
    <n v="5998"/>
    <n v="40"/>
    <x v="1"/>
    <x v="1"/>
    <s v="Young"/>
    <s v="Long"/>
    <s v="Medium Risk"/>
  </r>
  <r>
    <n v="39"/>
    <s v="Female"/>
    <n v="2"/>
    <s v="Own"/>
    <s v="Little"/>
    <s v="Moderate"/>
    <n v="1188"/>
    <n v="21"/>
    <x v="4"/>
    <x v="0"/>
    <s v="Senior"/>
    <s v="Medium"/>
    <s v="Low Risk"/>
  </r>
  <r>
    <n v="41"/>
    <s v="Male"/>
    <n v="3"/>
    <s v="Own"/>
    <s v="Unknown"/>
    <s v="Unknown"/>
    <n v="6313"/>
    <n v="24"/>
    <x v="3"/>
    <x v="0"/>
    <s v="Senior"/>
    <s v="Medium"/>
    <s v="HighRisk"/>
  </r>
  <r>
    <n v="27"/>
    <s v="Male"/>
    <n v="2"/>
    <s v="Own"/>
    <s v="Unknown"/>
    <s v="Unknown"/>
    <n v="1221"/>
    <n v="6"/>
    <x v="2"/>
    <x v="0"/>
    <s v="Young"/>
    <s v="Short"/>
    <s v="Low Risk"/>
  </r>
  <r>
    <n v="51"/>
    <s v="Male"/>
    <n v="2"/>
    <s v="Free"/>
    <s v="Little"/>
    <s v="rich"/>
    <n v="2892"/>
    <n v="24"/>
    <x v="2"/>
    <x v="0"/>
    <s v="Adult"/>
    <s v="Medium"/>
    <s v="Low Risk"/>
  </r>
  <r>
    <n v="32"/>
    <s v="Male"/>
    <n v="2"/>
    <s v="Rent"/>
    <s v="Quite rich"/>
    <s v="Unknown"/>
    <n v="3062"/>
    <n v="24"/>
    <x v="2"/>
    <x v="0"/>
    <s v="Senior"/>
    <s v="Medium"/>
    <s v="Medium Risk"/>
  </r>
  <r>
    <n v="22"/>
    <s v="Female"/>
    <n v="2"/>
    <s v="Rent"/>
    <s v="Moderate"/>
    <s v="Unknown"/>
    <n v="2301"/>
    <n v="9"/>
    <x v="2"/>
    <x v="0"/>
    <s v="Young"/>
    <s v="Short"/>
    <s v="Low Risk"/>
  </r>
  <r>
    <n v="51"/>
    <s v="Male"/>
    <n v="2"/>
    <s v="Free"/>
    <s v="Unknown"/>
    <s v="Little"/>
    <n v="7511"/>
    <n v="18"/>
    <x v="3"/>
    <x v="1"/>
    <s v="Adult"/>
    <s v="Medium"/>
    <s v="HighRisk"/>
  </r>
  <r>
    <n v="22"/>
    <s v="Female"/>
    <n v="1"/>
    <s v="Rent"/>
    <s v="Little"/>
    <s v="Unknown"/>
    <n v="1258"/>
    <n v="12"/>
    <x v="2"/>
    <x v="0"/>
    <s v="Young"/>
    <s v="Medium"/>
    <s v="Low Risk"/>
  </r>
  <r>
    <n v="54"/>
    <s v="Male"/>
    <n v="2"/>
    <s v="Own"/>
    <s v="Unknown"/>
    <s v="Unknown"/>
    <n v="717"/>
    <n v="24"/>
    <x v="3"/>
    <x v="0"/>
    <s v="Adult"/>
    <s v="Medium"/>
    <s v="Low Risk"/>
  </r>
  <r>
    <n v="35"/>
    <s v="Male"/>
    <n v="0"/>
    <s v="Own"/>
    <s v="Unknown"/>
    <s v="Moderate"/>
    <n v="1549"/>
    <n v="9"/>
    <x v="3"/>
    <x v="0"/>
    <s v="Senior"/>
    <s v="Short"/>
    <s v="Low Risk"/>
  </r>
  <r>
    <n v="54"/>
    <s v="Male"/>
    <n v="2"/>
    <s v="Free"/>
    <s v="Little"/>
    <s v="Unknown"/>
    <n v="1597"/>
    <n v="24"/>
    <x v="1"/>
    <x v="0"/>
    <s v="Adult"/>
    <s v="Medium"/>
    <s v="Low Risk"/>
  </r>
  <r>
    <n v="48"/>
    <s v="Female"/>
    <n v="1"/>
    <s v="Rent"/>
    <s v="Little"/>
    <s v="Moderate"/>
    <n v="1795"/>
    <n v="18"/>
    <x v="0"/>
    <x v="0"/>
    <s v="Senior"/>
    <s v="Medium"/>
    <s v="Low Risk"/>
  </r>
  <r>
    <n v="24"/>
    <s v="Female"/>
    <n v="2"/>
    <s v="Own"/>
    <s v="Little"/>
    <s v="Little"/>
    <n v="4272"/>
    <n v="20"/>
    <x v="2"/>
    <x v="0"/>
    <s v="Young"/>
    <s v="Medium"/>
    <s v="Medium Risk"/>
  </r>
  <r>
    <n v="35"/>
    <s v="Male"/>
    <n v="2"/>
    <s v="Own"/>
    <s v="Unknown"/>
    <s v="Unknown"/>
    <n v="976"/>
    <n v="12"/>
    <x v="0"/>
    <x v="0"/>
    <s v="Senior"/>
    <s v="Medium"/>
    <s v="Low Risk"/>
  </r>
  <r>
    <n v="24"/>
    <s v="Female"/>
    <n v="0"/>
    <s v="Rent"/>
    <s v="Unknown"/>
    <s v="Moderate"/>
    <n v="7472"/>
    <n v="12"/>
    <x v="3"/>
    <x v="1"/>
    <s v="Young"/>
    <s v="Medium"/>
    <s v="HighRisk"/>
  </r>
  <r>
    <n v="24"/>
    <s v="Male"/>
    <n v="2"/>
    <s v="Own"/>
    <s v="Little"/>
    <s v="Little"/>
    <n v="9271"/>
    <n v="36"/>
    <x v="3"/>
    <x v="1"/>
    <s v="Young"/>
    <s v="Long"/>
    <s v="HighRisk"/>
  </r>
  <r>
    <n v="26"/>
    <s v="Male"/>
    <n v="1"/>
    <s v="Own"/>
    <s v="Little"/>
    <s v="Moderate"/>
    <n v="590"/>
    <n v="6"/>
    <x v="0"/>
    <x v="0"/>
    <s v="Young"/>
    <s v="Short"/>
    <s v="Low Risk"/>
  </r>
  <r>
    <n v="65"/>
    <s v="Male"/>
    <n v="2"/>
    <s v="Own"/>
    <s v="Unknown"/>
    <s v="Unknown"/>
    <n v="930"/>
    <n v="12"/>
    <x v="0"/>
    <x v="0"/>
    <s v="Adult"/>
    <s v="Medium"/>
    <s v="Low Risk"/>
  </r>
  <r>
    <n v="55"/>
    <s v="Male"/>
    <n v="3"/>
    <s v="Free"/>
    <s v="Little"/>
    <s v="Moderate"/>
    <n v="9283"/>
    <n v="42"/>
    <x v="3"/>
    <x v="1"/>
    <s v="Adult"/>
    <s v="Long"/>
    <s v="HighRisk"/>
  </r>
  <r>
    <n v="26"/>
    <s v="Female"/>
    <n v="0"/>
    <s v="Rent"/>
    <s v="Little"/>
    <s v="Moderate"/>
    <n v="1778"/>
    <n v="15"/>
    <x v="3"/>
    <x v="0"/>
    <s v="Young"/>
    <s v="Medium"/>
    <s v="Low Risk"/>
  </r>
  <r>
    <n v="26"/>
    <s v="Male"/>
    <n v="2"/>
    <s v="Own"/>
    <s v="Little"/>
    <s v="Moderate"/>
    <n v="907"/>
    <n v="8"/>
    <x v="4"/>
    <x v="0"/>
    <s v="Young"/>
    <s v="Short"/>
    <s v="Low Risk"/>
  </r>
  <r>
    <n v="28"/>
    <s v="Male"/>
    <n v="1"/>
    <s v="Own"/>
    <s v="Little"/>
    <s v="Moderate"/>
    <n v="484"/>
    <n v="6"/>
    <x v="0"/>
    <x v="0"/>
    <s v="Young"/>
    <s v="Short"/>
    <s v="Low Risk"/>
  </r>
  <r>
    <n v="24"/>
    <s v="Male"/>
    <n v="2"/>
    <s v="Own"/>
    <s v="Little"/>
    <s v="Little"/>
    <n v="9629"/>
    <n v="36"/>
    <x v="3"/>
    <x v="1"/>
    <s v="Young"/>
    <s v="Long"/>
    <s v="HighRisk"/>
  </r>
  <r>
    <n v="54"/>
    <s v="Male"/>
    <n v="2"/>
    <s v="Own"/>
    <s v="Little"/>
    <s v="Little"/>
    <n v="3051"/>
    <n v="48"/>
    <x v="5"/>
    <x v="1"/>
    <s v="Adult"/>
    <s v="Long"/>
    <s v="Medium Risk"/>
  </r>
  <r>
    <n v="46"/>
    <s v="Male"/>
    <n v="2"/>
    <s v="Free"/>
    <s v="Little"/>
    <s v="Little"/>
    <n v="3931"/>
    <n v="48"/>
    <x v="3"/>
    <x v="1"/>
    <s v="Senior"/>
    <s v="Long"/>
    <s v="Medium Risk"/>
  </r>
  <r>
    <n v="54"/>
    <s v="Female"/>
    <n v="2"/>
    <s v="Rent"/>
    <s v="Little"/>
    <s v="Moderate"/>
    <n v="7432"/>
    <n v="36"/>
    <x v="3"/>
    <x v="1"/>
    <s v="Adult"/>
    <s v="Long"/>
    <s v="HighRisk"/>
  </r>
  <r>
    <n v="62"/>
    <s v="Male"/>
    <n v="2"/>
    <s v="Own"/>
    <s v="Quite rich"/>
    <s v="Unknown"/>
    <n v="1338"/>
    <n v="6"/>
    <x v="5"/>
    <x v="0"/>
    <s v="Adult"/>
    <s v="Short"/>
    <s v="Low Risk"/>
  </r>
  <r>
    <n v="24"/>
    <s v="Female"/>
    <n v="2"/>
    <s v="Rent"/>
    <s v="Little"/>
    <s v="Unknown"/>
    <n v="1554"/>
    <n v="6"/>
    <x v="0"/>
    <x v="0"/>
    <s v="Young"/>
    <s v="Short"/>
    <s v="Low Risk"/>
  </r>
  <r>
    <n v="43"/>
    <s v="Male"/>
    <n v="3"/>
    <s v="Own"/>
    <s v="Little"/>
    <s v="Little"/>
    <n v="15857"/>
    <n v="36"/>
    <x v="7"/>
    <x v="1"/>
    <s v="Senior"/>
    <s v="Long"/>
    <s v="HighRisk"/>
  </r>
  <r>
    <n v="26"/>
    <s v="Male"/>
    <n v="2"/>
    <s v="Own"/>
    <s v="Little"/>
    <s v="Little"/>
    <n v="1345"/>
    <n v="18"/>
    <x v="0"/>
    <x v="0"/>
    <s v="Young"/>
    <s v="Medium"/>
    <s v="Low Risk"/>
  </r>
  <r>
    <n v="27"/>
    <s v="Male"/>
    <n v="2"/>
    <s v="Own"/>
    <s v="Little"/>
    <s v="Unknown"/>
    <n v="1101"/>
    <n v="12"/>
    <x v="3"/>
    <x v="0"/>
    <s v="Young"/>
    <s v="Medium"/>
    <s v="Low Risk"/>
  </r>
  <r>
    <n v="24"/>
    <s v="Male"/>
    <n v="2"/>
    <s v="Own"/>
    <s v="Little"/>
    <s v="rich"/>
    <n v="3016"/>
    <n v="12"/>
    <x v="0"/>
    <x v="0"/>
    <s v="Young"/>
    <s v="Medium"/>
    <s v="Medium Risk"/>
  </r>
  <r>
    <n v="41"/>
    <s v="Male"/>
    <n v="2"/>
    <s v="Own"/>
    <s v="Little"/>
    <s v="Little"/>
    <n v="2712"/>
    <n v="36"/>
    <x v="2"/>
    <x v="0"/>
    <s v="Senior"/>
    <s v="Long"/>
    <s v="Low Risk"/>
  </r>
  <r>
    <n v="47"/>
    <s v="Male"/>
    <n v="1"/>
    <s v="Own"/>
    <s v="Little"/>
    <s v="Little"/>
    <n v="731"/>
    <n v="8"/>
    <x v="3"/>
    <x v="0"/>
    <s v="Senior"/>
    <s v="Short"/>
    <s v="Low Risk"/>
  </r>
  <r>
    <n v="35"/>
    <s v="Male"/>
    <n v="3"/>
    <s v="Own"/>
    <s v="Little"/>
    <s v="Unknown"/>
    <n v="3780"/>
    <n v="18"/>
    <x v="2"/>
    <x v="0"/>
    <s v="Senior"/>
    <s v="Medium"/>
    <s v="Medium Risk"/>
  </r>
  <r>
    <n v="30"/>
    <s v="Male"/>
    <n v="2"/>
    <s v="Own"/>
    <s v="Little"/>
    <s v="Little"/>
    <n v="1602"/>
    <n v="21"/>
    <x v="3"/>
    <x v="0"/>
    <s v="Senior"/>
    <s v="Medium"/>
    <s v="Low Risk"/>
  </r>
  <r>
    <n v="33"/>
    <s v="Female"/>
    <n v="2"/>
    <s v="Rent"/>
    <s v="Little"/>
    <s v="Little"/>
    <n v="3966"/>
    <n v="18"/>
    <x v="3"/>
    <x v="0"/>
    <s v="Senior"/>
    <s v="Medium"/>
    <s v="Medium Risk"/>
  </r>
  <r>
    <n v="36"/>
    <s v="Male"/>
    <n v="2"/>
    <s v="Own"/>
    <s v="Little"/>
    <s v="Unknown"/>
    <n v="4165"/>
    <n v="18"/>
    <x v="4"/>
    <x v="0"/>
    <s v="Senior"/>
    <s v="Medium"/>
    <s v="Medium Risk"/>
  </r>
  <r>
    <n v="47"/>
    <s v="Male"/>
    <n v="2"/>
    <s v="Free"/>
    <s v="Unknown"/>
    <s v="Little"/>
    <n v="8335"/>
    <n v="36"/>
    <x v="3"/>
    <x v="1"/>
    <s v="Senior"/>
    <s v="Long"/>
    <s v="HighRisk"/>
  </r>
  <r>
    <n v="38"/>
    <s v="Male"/>
    <n v="2"/>
    <s v="Free"/>
    <s v="Unknown"/>
    <s v="Moderate"/>
    <n v="6681"/>
    <n v="48"/>
    <x v="4"/>
    <x v="1"/>
    <s v="Senior"/>
    <s v="Long"/>
    <s v="HighRisk"/>
  </r>
  <r>
    <n v="44"/>
    <s v="Male"/>
    <n v="2"/>
    <s v="Own"/>
    <s v="Quite rich"/>
    <s v="Unknown"/>
    <n v="2375"/>
    <n v="24"/>
    <x v="4"/>
    <x v="0"/>
    <s v="Senior"/>
    <s v="Medium"/>
    <s v="Low Risk"/>
  </r>
  <r>
    <n v="23"/>
    <s v="Female"/>
    <n v="2"/>
    <s v="Rent"/>
    <s v="Little"/>
    <s v="Little"/>
    <n v="1216"/>
    <n v="18"/>
    <x v="3"/>
    <x v="0"/>
    <s v="Young"/>
    <s v="Medium"/>
    <s v="Low Risk"/>
  </r>
  <r>
    <n v="29"/>
    <s v="Male"/>
    <n v="2"/>
    <s v="Rent"/>
    <s v="Little"/>
    <s v="Little"/>
    <n v="11816"/>
    <n v="45"/>
    <x v="4"/>
    <x v="1"/>
    <s v="Young"/>
    <s v="Long"/>
    <s v="HighRisk"/>
  </r>
  <r>
    <n v="42"/>
    <s v="Female"/>
    <n v="2"/>
    <s v="Own"/>
    <s v="Unknown"/>
    <s v="Moderate"/>
    <n v="5084"/>
    <n v="24"/>
    <x v="0"/>
    <x v="0"/>
    <s v="Senior"/>
    <s v="Medium"/>
    <s v="Medium Risk"/>
  </r>
  <r>
    <n v="25"/>
    <s v="Female"/>
    <n v="1"/>
    <s v="Own"/>
    <s v="Little"/>
    <s v="rich"/>
    <n v="2327"/>
    <n v="15"/>
    <x v="0"/>
    <x v="0"/>
    <s v="Young"/>
    <s v="Medium"/>
    <s v="Low Risk"/>
  </r>
  <r>
    <n v="48"/>
    <s v="Male"/>
    <n v="2"/>
    <s v="Own"/>
    <s v="Little"/>
    <s v="Little"/>
    <n v="1082"/>
    <n v="12"/>
    <x v="3"/>
    <x v="0"/>
    <s v="Senior"/>
    <s v="Medium"/>
    <s v="Low Risk"/>
  </r>
  <r>
    <n v="21"/>
    <s v="Female"/>
    <n v="2"/>
    <s v="Own"/>
    <s v="Unknown"/>
    <s v="Unknown"/>
    <n v="886"/>
    <n v="12"/>
    <x v="0"/>
    <x v="0"/>
    <s v="Young"/>
    <s v="Medium"/>
    <s v="Low Risk"/>
  </r>
  <r>
    <n v="23"/>
    <s v="Female"/>
    <n v="1"/>
    <s v="Rent"/>
    <s v="Little"/>
    <s v="Unknown"/>
    <n v="601"/>
    <n v="4"/>
    <x v="2"/>
    <x v="0"/>
    <s v="Young"/>
    <s v="Short"/>
    <s v="Low Risk"/>
  </r>
  <r>
    <n v="63"/>
    <s v="Male"/>
    <n v="2"/>
    <s v="Own"/>
    <s v="Little"/>
    <s v="Little"/>
    <n v="2957"/>
    <n v="24"/>
    <x v="3"/>
    <x v="0"/>
    <s v="Adult"/>
    <s v="Medium"/>
    <s v="Low Risk"/>
  </r>
  <r>
    <n v="46"/>
    <s v="Male"/>
    <n v="2"/>
    <s v="Own"/>
    <s v="Little"/>
    <s v="Unknown"/>
    <n v="2611"/>
    <n v="24"/>
    <x v="0"/>
    <x v="0"/>
    <s v="Senior"/>
    <s v="Medium"/>
    <s v="Low Risk"/>
  </r>
  <r>
    <n v="29"/>
    <s v="Male"/>
    <n v="2"/>
    <s v="Own"/>
    <s v="Little"/>
    <s v="Little"/>
    <n v="5179"/>
    <n v="36"/>
    <x v="2"/>
    <x v="2"/>
    <s v="Young"/>
    <s v="Long"/>
    <s v="Medium Risk"/>
  </r>
  <r>
    <n v="28"/>
    <s v="Male"/>
    <n v="1"/>
    <s v="Own"/>
    <s v="Little"/>
    <s v="Unknown"/>
    <n v="2993"/>
    <n v="21"/>
    <x v="3"/>
    <x v="0"/>
    <s v="Young"/>
    <s v="Medium"/>
    <s v="Low Risk"/>
  </r>
  <r>
    <n v="23"/>
    <s v="Female"/>
    <n v="2"/>
    <s v="Own"/>
    <s v="Little"/>
    <s v="Unknown"/>
    <n v="1943"/>
    <n v="18"/>
    <x v="6"/>
    <x v="0"/>
    <s v="Young"/>
    <s v="Medium"/>
    <s v="Low Risk"/>
  </r>
  <r>
    <n v="50"/>
    <s v="Male"/>
    <n v="2"/>
    <s v="Own"/>
    <s v="Little"/>
    <s v="Unknown"/>
    <n v="1559"/>
    <n v="24"/>
    <x v="4"/>
    <x v="0"/>
    <s v="Senior"/>
    <s v="Medium"/>
    <s v="Low Risk"/>
  </r>
  <r>
    <n v="47"/>
    <s v="Male"/>
    <n v="2"/>
    <s v="Own"/>
    <s v="Little"/>
    <s v="Unknown"/>
    <n v="3422"/>
    <n v="18"/>
    <x v="2"/>
    <x v="0"/>
    <s v="Senior"/>
    <s v="Medium"/>
    <s v="Medium Risk"/>
  </r>
  <r>
    <n v="35"/>
    <s v="Male"/>
    <n v="2"/>
    <s v="Own"/>
    <s v="Unknown"/>
    <s v="Moderate"/>
    <n v="3976"/>
    <n v="21"/>
    <x v="2"/>
    <x v="0"/>
    <s v="Senior"/>
    <s v="Medium"/>
    <s v="Medium Risk"/>
  </r>
  <r>
    <n v="68"/>
    <s v="Male"/>
    <n v="2"/>
    <s v="Rent"/>
    <s v="Unknown"/>
    <s v="Unknown"/>
    <n v="6761"/>
    <n v="18"/>
    <x v="3"/>
    <x v="0"/>
    <s v="Adult"/>
    <s v="Medium"/>
    <s v="HighRisk"/>
  </r>
  <r>
    <n v="28"/>
    <s v="Male"/>
    <n v="2"/>
    <s v="Own"/>
    <s v="Little"/>
    <s v="Unknown"/>
    <n v="1249"/>
    <n v="24"/>
    <x v="3"/>
    <x v="0"/>
    <s v="Young"/>
    <s v="Medium"/>
    <s v="Low Risk"/>
  </r>
  <r>
    <n v="59"/>
    <s v="Male"/>
    <n v="2"/>
    <s v="Own"/>
    <s v="Little"/>
    <s v="Little"/>
    <n v="1364"/>
    <n v="9"/>
    <x v="0"/>
    <x v="0"/>
    <s v="Adult"/>
    <s v="Short"/>
    <s v="Low Risk"/>
  </r>
  <r>
    <n v="57"/>
    <s v="Male"/>
    <n v="1"/>
    <s v="Own"/>
    <s v="Little"/>
    <s v="Little"/>
    <n v="709"/>
    <n v="12"/>
    <x v="0"/>
    <x v="0"/>
    <s v="Adult"/>
    <s v="Medium"/>
    <s v="Low Risk"/>
  </r>
  <r>
    <n v="33"/>
    <s v="Male"/>
    <n v="2"/>
    <s v="Rent"/>
    <s v="Little"/>
    <s v="Little"/>
    <n v="2235"/>
    <n v="20"/>
    <x v="3"/>
    <x v="0"/>
    <s v="Senior"/>
    <s v="Medium"/>
    <s v="Low Risk"/>
  </r>
  <r>
    <n v="43"/>
    <s v="Male"/>
    <n v="2"/>
    <s v="Own"/>
    <s v="Unknown"/>
    <s v="Unknown"/>
    <n v="4042"/>
    <n v="24"/>
    <x v="3"/>
    <x v="0"/>
    <s v="Senior"/>
    <s v="Medium"/>
    <s v="Medium Risk"/>
  </r>
  <r>
    <n v="35"/>
    <s v="Male"/>
    <n v="2"/>
    <s v="Free"/>
    <s v="Little"/>
    <s v="Unknown"/>
    <n v="1471"/>
    <n v="15"/>
    <x v="0"/>
    <x v="0"/>
    <s v="Senior"/>
    <s v="Medium"/>
    <s v="Low Risk"/>
  </r>
  <r>
    <n v="32"/>
    <s v="Male"/>
    <n v="1"/>
    <s v="Free"/>
    <s v="Little"/>
    <s v="Little"/>
    <n v="1442"/>
    <n v="18"/>
    <x v="3"/>
    <x v="0"/>
    <s v="Senior"/>
    <s v="Medium"/>
    <s v="Low Risk"/>
  </r>
  <r>
    <n v="45"/>
    <s v="Male"/>
    <n v="2"/>
    <s v="Own"/>
    <s v="Little"/>
    <s v="Unknown"/>
    <n v="10875"/>
    <n v="36"/>
    <x v="3"/>
    <x v="1"/>
    <s v="Senior"/>
    <s v="Long"/>
    <s v="HighRisk"/>
  </r>
  <r>
    <n v="33"/>
    <s v="Male"/>
    <n v="2"/>
    <s v="Own"/>
    <s v="Moderate"/>
    <s v="Unknown"/>
    <n v="1474"/>
    <n v="24"/>
    <x v="3"/>
    <x v="0"/>
    <s v="Senior"/>
    <s v="Medium"/>
    <s v="Low Risk"/>
  </r>
  <r>
    <n v="40"/>
    <s v="Female"/>
    <n v="2"/>
    <s v="Own"/>
    <s v="Unknown"/>
    <s v="Unknown"/>
    <n v="894"/>
    <n v="10"/>
    <x v="1"/>
    <x v="0"/>
    <s v="Senior"/>
    <s v="Short"/>
    <s v="Low Risk"/>
  </r>
  <r>
    <n v="28"/>
    <s v="Male"/>
    <n v="2"/>
    <s v="Free"/>
    <s v="Little"/>
    <s v="Unknown"/>
    <n v="3343"/>
    <n v="15"/>
    <x v="2"/>
    <x v="0"/>
    <s v="Young"/>
    <s v="Medium"/>
    <s v="Medium Risk"/>
  </r>
  <r>
    <n v="29"/>
    <s v="Female"/>
    <n v="2"/>
    <s v="Own"/>
    <s v="Little"/>
    <s v="Little"/>
    <n v="3959"/>
    <n v="15"/>
    <x v="3"/>
    <x v="0"/>
    <s v="Young"/>
    <s v="Medium"/>
    <s v="Medium Risk"/>
  </r>
  <r>
    <n v="26"/>
    <s v="Male"/>
    <n v="2"/>
    <s v="Rent"/>
    <s v="Moderate"/>
    <s v="Unknown"/>
    <n v="3577"/>
    <n v="9"/>
    <x v="3"/>
    <x v="0"/>
    <s v="Young"/>
    <s v="Short"/>
    <s v="Medium Risk"/>
  </r>
  <r>
    <n v="27"/>
    <s v="Male"/>
    <n v="2"/>
    <s v="Own"/>
    <s v="rich"/>
    <s v="Unknown"/>
    <n v="5804"/>
    <n v="24"/>
    <x v="3"/>
    <x v="0"/>
    <s v="Young"/>
    <s v="Medium"/>
    <s v="Medium Risk"/>
  </r>
  <r>
    <n v="28"/>
    <s v="Male"/>
    <n v="2"/>
    <s v="Own"/>
    <s v="Little"/>
    <s v="Unknown"/>
    <n v="2169"/>
    <n v="18"/>
    <x v="4"/>
    <x v="0"/>
    <s v="Young"/>
    <s v="Medium"/>
    <s v="Low Risk"/>
  </r>
  <r>
    <n v="35"/>
    <s v="Female"/>
    <n v="2"/>
    <s v="Own"/>
    <s v="Little"/>
    <s v="Little"/>
    <n v="2439"/>
    <n v="24"/>
    <x v="0"/>
    <x v="0"/>
    <s v="Senior"/>
    <s v="Medium"/>
    <s v="Low Risk"/>
  </r>
  <r>
    <n v="32"/>
    <s v="Male"/>
    <n v="1"/>
    <s v="Own"/>
    <s v="rich"/>
    <s v="Unknown"/>
    <n v="4526"/>
    <n v="27"/>
    <x v="2"/>
    <x v="2"/>
    <s v="Senior"/>
    <s v="Medium"/>
    <s v="Medium Risk"/>
  </r>
  <r>
    <n v="25"/>
    <s v="Male"/>
    <n v="1"/>
    <s v="Rent"/>
    <s v="Little"/>
    <s v="Unknown"/>
    <n v="2210"/>
    <n v="10"/>
    <x v="2"/>
    <x v="0"/>
    <s v="Young"/>
    <s v="Short"/>
    <s v="Low Risk"/>
  </r>
  <r>
    <n v="20"/>
    <s v="Female"/>
    <n v="2"/>
    <s v="Rent"/>
    <s v="Quite rich"/>
    <s v="Unknown"/>
    <n v="2221"/>
    <n v="15"/>
    <x v="2"/>
    <x v="0"/>
    <s v="Young"/>
    <s v="Medium"/>
    <s v="Low Risk"/>
  </r>
  <r>
    <n v="27"/>
    <s v="Female"/>
    <n v="2"/>
    <s v="Own"/>
    <s v="Little"/>
    <s v="Little"/>
    <n v="2389"/>
    <n v="18"/>
    <x v="0"/>
    <x v="0"/>
    <s v="Young"/>
    <s v="Medium"/>
    <s v="Low Risk"/>
  </r>
  <r>
    <n v="42"/>
    <s v="Male"/>
    <n v="2"/>
    <s v="Own"/>
    <s v="Little"/>
    <s v="Unknown"/>
    <n v="3331"/>
    <n v="12"/>
    <x v="2"/>
    <x v="0"/>
    <s v="Senior"/>
    <s v="Medium"/>
    <s v="Medium Risk"/>
  </r>
  <r>
    <n v="37"/>
    <s v="Male"/>
    <n v="2"/>
    <s v="Own"/>
    <s v="Unknown"/>
    <s v="Unknown"/>
    <n v="7409"/>
    <n v="36"/>
    <x v="4"/>
    <x v="1"/>
    <s v="Senior"/>
    <s v="Long"/>
    <s v="HighRisk"/>
  </r>
  <r>
    <n v="24"/>
    <s v="Female"/>
    <n v="2"/>
    <s v="Rent"/>
    <s v="Little"/>
    <s v="Little"/>
    <n v="652"/>
    <n v="12"/>
    <x v="2"/>
    <x v="0"/>
    <s v="Young"/>
    <s v="Medium"/>
    <s v="Low Risk"/>
  </r>
  <r>
    <n v="40"/>
    <s v="Female"/>
    <n v="2"/>
    <s v="Own"/>
    <s v="Quite rich"/>
    <s v="Unknown"/>
    <n v="7678"/>
    <n v="36"/>
    <x v="2"/>
    <x v="1"/>
    <s v="Senior"/>
    <s v="Long"/>
    <s v="HighRisk"/>
  </r>
  <r>
    <n v="46"/>
    <s v="Male"/>
    <n v="2"/>
    <s v="Own"/>
    <s v="Little"/>
    <s v="rich"/>
    <n v="1343"/>
    <n v="6"/>
    <x v="3"/>
    <x v="0"/>
    <s v="Senior"/>
    <s v="Short"/>
    <s v="Low Risk"/>
  </r>
  <r>
    <n v="26"/>
    <s v="Male"/>
    <n v="2"/>
    <s v="Own"/>
    <s v="Moderate"/>
    <s v="Little"/>
    <n v="1382"/>
    <n v="24"/>
    <x v="4"/>
    <x v="0"/>
    <s v="Young"/>
    <s v="Medium"/>
    <s v="Low Risk"/>
  </r>
  <r>
    <n v="24"/>
    <s v="Female"/>
    <n v="2"/>
    <s v="Own"/>
    <s v="Unknown"/>
    <s v="Unknown"/>
    <n v="874"/>
    <n v="15"/>
    <x v="5"/>
    <x v="0"/>
    <s v="Young"/>
    <s v="Medium"/>
    <s v="Low Risk"/>
  </r>
  <r>
    <n v="29"/>
    <s v="Male"/>
    <n v="1"/>
    <s v="Own"/>
    <s v="Little"/>
    <s v="Little"/>
    <n v="3590"/>
    <n v="12"/>
    <x v="2"/>
    <x v="0"/>
    <s v="Young"/>
    <s v="Medium"/>
    <s v="Medium Risk"/>
  </r>
  <r>
    <n v="40"/>
    <s v="Female"/>
    <n v="2"/>
    <s v="Own"/>
    <s v="rich"/>
    <s v="Moderate"/>
    <n v="1322"/>
    <n v="11"/>
    <x v="3"/>
    <x v="0"/>
    <s v="Senior"/>
    <s v="Short"/>
    <s v="Low Risk"/>
  </r>
  <r>
    <n v="36"/>
    <s v="Male"/>
    <n v="3"/>
    <s v="Free"/>
    <s v="Little"/>
    <s v="Little"/>
    <n v="1940"/>
    <n v="18"/>
    <x v="0"/>
    <x v="0"/>
    <s v="Senior"/>
    <s v="Medium"/>
    <s v="Low Risk"/>
  </r>
  <r>
    <n v="28"/>
    <s v="Male"/>
    <n v="2"/>
    <s v="Own"/>
    <s v="Little"/>
    <s v="Unknown"/>
    <n v="3595"/>
    <n v="36"/>
    <x v="0"/>
    <x v="0"/>
    <s v="Young"/>
    <s v="Long"/>
    <s v="Medium Risk"/>
  </r>
  <r>
    <n v="27"/>
    <s v="Male"/>
    <n v="3"/>
    <s v="Free"/>
    <s v="Little"/>
    <s v="Little"/>
    <n v="1422"/>
    <n v="9"/>
    <x v="3"/>
    <x v="0"/>
    <s v="Young"/>
    <s v="Short"/>
    <s v="Low Risk"/>
  </r>
  <r>
    <n v="36"/>
    <s v="Male"/>
    <n v="2"/>
    <s v="Own"/>
    <s v="Unknown"/>
    <s v="Unknown"/>
    <n v="6742"/>
    <n v="30"/>
    <x v="0"/>
    <x v="2"/>
    <s v="Senior"/>
    <s v="Medium"/>
    <s v="HighRisk"/>
  </r>
  <r>
    <n v="38"/>
    <s v="Male"/>
    <n v="3"/>
    <s v="Own"/>
    <s v="Little"/>
    <s v="Unknown"/>
    <n v="7814"/>
    <n v="24"/>
    <x v="3"/>
    <x v="1"/>
    <s v="Senior"/>
    <s v="Medium"/>
    <s v="HighRisk"/>
  </r>
  <r>
    <n v="48"/>
    <s v="Male"/>
    <n v="2"/>
    <s v="Free"/>
    <s v="Unknown"/>
    <s v="Unknown"/>
    <n v="9277"/>
    <n v="24"/>
    <x v="3"/>
    <x v="1"/>
    <s v="Senior"/>
    <s v="Medium"/>
    <s v="HighRisk"/>
  </r>
  <r>
    <n v="36"/>
    <s v="Male"/>
    <n v="2"/>
    <s v="Own"/>
    <s v="Unknown"/>
    <s v="Moderate"/>
    <n v="2181"/>
    <n v="30"/>
    <x v="3"/>
    <x v="0"/>
    <s v="Senior"/>
    <s v="Medium"/>
    <s v="Low Risk"/>
  </r>
  <r>
    <n v="65"/>
    <s v="Female"/>
    <n v="0"/>
    <s v="Own"/>
    <s v="Little"/>
    <s v="Unknown"/>
    <n v="1098"/>
    <n v="18"/>
    <x v="0"/>
    <x v="0"/>
    <s v="Adult"/>
    <s v="Medium"/>
    <s v="Low Risk"/>
  </r>
  <r>
    <n v="43"/>
    <s v="Male"/>
    <n v="2"/>
    <s v="Own"/>
    <s v="Little"/>
    <s v="Moderate"/>
    <n v="4057"/>
    <n v="24"/>
    <x v="2"/>
    <x v="0"/>
    <s v="Senior"/>
    <s v="Medium"/>
    <s v="Medium Risk"/>
  </r>
  <r>
    <n v="53"/>
    <s v="Female"/>
    <n v="2"/>
    <s v="Own"/>
    <s v="Little"/>
    <s v="Little"/>
    <n v="795"/>
    <n v="12"/>
    <x v="1"/>
    <x v="0"/>
    <s v="Adult"/>
    <s v="Medium"/>
    <s v="Low Risk"/>
  </r>
  <r>
    <n v="34"/>
    <s v="Male"/>
    <n v="2"/>
    <s v="Own"/>
    <s v="Unknown"/>
    <s v="Moderate"/>
    <n v="2825"/>
    <n v="24"/>
    <x v="4"/>
    <x v="0"/>
    <s v="Senior"/>
    <s v="Medium"/>
    <s v="Low Risk"/>
  </r>
  <r>
    <n v="23"/>
    <s v="Male"/>
    <n v="2"/>
    <s v="Own"/>
    <s v="Little"/>
    <s v="Moderate"/>
    <n v="15672"/>
    <n v="48"/>
    <x v="4"/>
    <x v="1"/>
    <s v="Young"/>
    <s v="Long"/>
    <s v="HighRisk"/>
  </r>
  <r>
    <n v="34"/>
    <s v="Male"/>
    <n v="3"/>
    <s v="Own"/>
    <s v="Little"/>
    <s v="Unknown"/>
    <n v="6614"/>
    <n v="36"/>
    <x v="3"/>
    <x v="2"/>
    <s v="Senior"/>
    <s v="Long"/>
    <s v="HighRisk"/>
  </r>
  <r>
    <n v="40"/>
    <s v="Male"/>
    <n v="2"/>
    <s v="Rent"/>
    <s v="Unknown"/>
    <s v="Unknown"/>
    <n v="7824"/>
    <n v="28"/>
    <x v="3"/>
    <x v="1"/>
    <s v="Senior"/>
    <s v="Medium"/>
    <s v="HighRisk"/>
  </r>
  <r>
    <n v="43"/>
    <s v="Male"/>
    <n v="3"/>
    <s v="Own"/>
    <s v="Little"/>
    <s v="Little"/>
    <n v="2442"/>
    <n v="27"/>
    <x v="4"/>
    <x v="0"/>
    <s v="Senior"/>
    <s v="Medium"/>
    <s v="Low Risk"/>
  </r>
  <r>
    <n v="46"/>
    <s v="Male"/>
    <n v="2"/>
    <s v="Own"/>
    <s v="Little"/>
    <s v="Unknown"/>
    <n v="1829"/>
    <n v="15"/>
    <x v="0"/>
    <x v="0"/>
    <s v="Senior"/>
    <s v="Medium"/>
    <s v="Low Risk"/>
  </r>
  <r>
    <n v="38"/>
    <s v="Male"/>
    <n v="1"/>
    <s v="Own"/>
    <s v="Little"/>
    <s v="Little"/>
    <n v="2171"/>
    <n v="12"/>
    <x v="3"/>
    <x v="0"/>
    <s v="Senior"/>
    <s v="Medium"/>
    <s v="Low Risk"/>
  </r>
  <r>
    <n v="34"/>
    <s v="Male"/>
    <n v="2"/>
    <s v="Own"/>
    <s v="Little"/>
    <s v="Moderate"/>
    <n v="5800"/>
    <n v="36"/>
    <x v="3"/>
    <x v="2"/>
    <s v="Senior"/>
    <s v="Long"/>
    <s v="Medium Risk"/>
  </r>
  <r>
    <n v="29"/>
    <s v="Male"/>
    <n v="2"/>
    <s v="Own"/>
    <s v="Unknown"/>
    <s v="Unknown"/>
    <n v="1169"/>
    <n v="18"/>
    <x v="0"/>
    <x v="0"/>
    <s v="Young"/>
    <s v="Medium"/>
    <s v="Low Risk"/>
  </r>
  <r>
    <n v="31"/>
    <s v="Male"/>
    <n v="3"/>
    <s v="Own"/>
    <s v="Unknown"/>
    <s v="Unknown"/>
    <n v="8947"/>
    <n v="36"/>
    <x v="3"/>
    <x v="1"/>
    <s v="Senior"/>
    <s v="Long"/>
    <s v="HighRisk"/>
  </r>
  <r>
    <n v="28"/>
    <s v="Female"/>
    <n v="3"/>
    <s v="Rent"/>
    <s v="Little"/>
    <s v="Little"/>
    <n v="2606"/>
    <n v="21"/>
    <x v="0"/>
    <x v="0"/>
    <s v="Young"/>
    <s v="Medium"/>
    <s v="Low Risk"/>
  </r>
  <r>
    <n v="35"/>
    <s v="Female"/>
    <n v="2"/>
    <s v="Own"/>
    <s v="rich"/>
    <s v="Unknown"/>
    <n v="1592"/>
    <n v="12"/>
    <x v="2"/>
    <x v="0"/>
    <s v="Senior"/>
    <s v="Medium"/>
    <s v="Low Risk"/>
  </r>
  <r>
    <n v="33"/>
    <s v="Female"/>
    <n v="1"/>
    <s v="Rent"/>
    <s v="Unknown"/>
    <s v="Unknown"/>
    <n v="2186"/>
    <n v="15"/>
    <x v="2"/>
    <x v="0"/>
    <s v="Senior"/>
    <s v="Medium"/>
    <s v="Low Risk"/>
  </r>
  <r>
    <n v="42"/>
    <s v="Male"/>
    <n v="2"/>
    <s v="Own"/>
    <s v="Little"/>
    <s v="Little"/>
    <n v="4153"/>
    <n v="18"/>
    <x v="2"/>
    <x v="0"/>
    <s v="Senior"/>
    <s v="Medium"/>
    <s v="Medium Risk"/>
  </r>
  <r>
    <n v="43"/>
    <s v="Male"/>
    <n v="2"/>
    <s v="Rent"/>
    <s v="Little"/>
    <s v="Little"/>
    <n v="2625"/>
    <n v="16"/>
    <x v="3"/>
    <x v="0"/>
    <s v="Senior"/>
    <s v="Medium"/>
    <s v="Low Risk"/>
  </r>
  <r>
    <n v="44"/>
    <s v="Male"/>
    <n v="2"/>
    <s v="Own"/>
    <s v="Unknown"/>
    <s v="Unknown"/>
    <n v="3485"/>
    <n v="20"/>
    <x v="3"/>
    <x v="0"/>
    <s v="Senior"/>
    <s v="Medium"/>
    <s v="Medium Risk"/>
  </r>
  <r>
    <n v="42"/>
    <s v="Male"/>
    <n v="2"/>
    <s v="Free"/>
    <s v="Unknown"/>
    <s v="Unknown"/>
    <n v="10477"/>
    <n v="36"/>
    <x v="3"/>
    <x v="1"/>
    <s v="Senior"/>
    <s v="Long"/>
    <s v="HighRisk"/>
  </r>
  <r>
    <n v="40"/>
    <s v="Male"/>
    <n v="2"/>
    <s v="Rent"/>
    <s v="Unknown"/>
    <s v="Unknown"/>
    <n v="1386"/>
    <n v="15"/>
    <x v="0"/>
    <x v="0"/>
    <s v="Senior"/>
    <s v="Medium"/>
    <s v="Low Risk"/>
  </r>
  <r>
    <n v="36"/>
    <s v="Male"/>
    <n v="3"/>
    <s v="Own"/>
    <s v="Little"/>
    <s v="Unknown"/>
    <n v="1278"/>
    <n v="24"/>
    <x v="0"/>
    <x v="0"/>
    <s v="Senior"/>
    <s v="Medium"/>
    <s v="Low Risk"/>
  </r>
  <r>
    <n v="20"/>
    <s v="Male"/>
    <n v="3"/>
    <s v="Rent"/>
    <s v="Little"/>
    <s v="Little"/>
    <n v="1107"/>
    <n v="12"/>
    <x v="0"/>
    <x v="0"/>
    <s v="Young"/>
    <s v="Medium"/>
    <s v="Low Risk"/>
  </r>
  <r>
    <n v="24"/>
    <s v="Male"/>
    <n v="1"/>
    <s v="Own"/>
    <s v="Unknown"/>
    <s v="Little"/>
    <n v="3763"/>
    <n v="21"/>
    <x v="3"/>
    <x v="0"/>
    <s v="Young"/>
    <s v="Medium"/>
    <s v="Medium Risk"/>
  </r>
  <r>
    <n v="27"/>
    <s v="Male"/>
    <n v="2"/>
    <s v="Own"/>
    <s v="Unknown"/>
    <s v="Moderate"/>
    <n v="3711"/>
    <n v="36"/>
    <x v="1"/>
    <x v="0"/>
    <s v="Young"/>
    <s v="Long"/>
    <s v="Medium Risk"/>
  </r>
  <r>
    <n v="46"/>
    <s v="Female"/>
    <n v="1"/>
    <s v="Own"/>
    <s v="Little"/>
    <s v="Unknown"/>
    <n v="3594"/>
    <n v="15"/>
    <x v="3"/>
    <x v="0"/>
    <s v="Senior"/>
    <s v="Medium"/>
    <s v="Medium Risk"/>
  </r>
  <r>
    <n v="33"/>
    <s v="Female"/>
    <n v="1"/>
    <s v="Own"/>
    <s v="Unknown"/>
    <s v="Moderate"/>
    <n v="3195"/>
    <n v="9"/>
    <x v="3"/>
    <x v="0"/>
    <s v="Senior"/>
    <s v="Short"/>
    <s v="Medium Risk"/>
  </r>
  <r>
    <n v="34"/>
    <s v="Female"/>
    <n v="2"/>
    <s v="Own"/>
    <s v="Little"/>
    <s v="Unknown"/>
    <n v="4454"/>
    <n v="36"/>
    <x v="0"/>
    <x v="2"/>
    <s v="Senior"/>
    <s v="Long"/>
    <s v="Medium Risk"/>
  </r>
  <r>
    <n v="25"/>
    <s v="Female"/>
    <n v="1"/>
    <s v="Own"/>
    <s v="Little"/>
    <s v="Moderate"/>
    <n v="4736"/>
    <n v="24"/>
    <x v="2"/>
    <x v="0"/>
    <s v="Young"/>
    <s v="Medium"/>
    <s v="Medium Risk"/>
  </r>
  <r>
    <n v="25"/>
    <s v="Female"/>
    <n v="2"/>
    <s v="Own"/>
    <s v="Unknown"/>
    <s v="Moderate"/>
    <n v="2991"/>
    <n v="30"/>
    <x v="0"/>
    <x v="0"/>
    <s v="Young"/>
    <s v="Medium"/>
    <s v="Low Risk"/>
  </r>
  <r>
    <n v="28"/>
    <s v="Male"/>
    <n v="2"/>
    <s v="Own"/>
    <s v="rich"/>
    <s v="Unknown"/>
    <n v="2142"/>
    <n v="11"/>
    <x v="4"/>
    <x v="0"/>
    <s v="Young"/>
    <s v="Short"/>
    <s v="Low Risk"/>
  </r>
  <r>
    <n v="31"/>
    <s v="Male"/>
    <n v="2"/>
    <s v="Rent"/>
    <s v="Little"/>
    <s v="Little"/>
    <n v="3161"/>
    <n v="24"/>
    <x v="4"/>
    <x v="0"/>
    <s v="Senior"/>
    <s v="Medium"/>
    <s v="Medium Risk"/>
  </r>
  <r>
    <n v="32"/>
    <s v="Female"/>
    <n v="3"/>
    <s v="Own"/>
    <s v="Little"/>
    <s v="Moderate"/>
    <n v="18424"/>
    <n v="48"/>
    <x v="7"/>
    <x v="1"/>
    <s v="Senior"/>
    <s v="Long"/>
    <s v="HighRisk"/>
  </r>
  <r>
    <n v="32"/>
    <s v="Male"/>
    <n v="2"/>
    <s v="Own"/>
    <s v="Moderate"/>
    <s v="Unknown"/>
    <n v="2848"/>
    <n v="10"/>
    <x v="3"/>
    <x v="0"/>
    <s v="Senior"/>
    <s v="Short"/>
    <s v="Low Risk"/>
  </r>
  <r>
    <n v="68"/>
    <s v="Male"/>
    <n v="3"/>
    <s v="Own"/>
    <s v="Little"/>
    <s v="Little"/>
    <n v="14896"/>
    <n v="6"/>
    <x v="3"/>
    <x v="1"/>
    <s v="Adult"/>
    <s v="Short"/>
    <s v="HighRisk"/>
  </r>
  <r>
    <n v="33"/>
    <s v="Male"/>
    <n v="2"/>
    <s v="Own"/>
    <s v="Moderate"/>
    <s v="Little"/>
    <n v="2359"/>
    <n v="24"/>
    <x v="2"/>
    <x v="0"/>
    <s v="Senior"/>
    <s v="Medium"/>
    <s v="Low Risk"/>
  </r>
  <r>
    <n v="39"/>
    <s v="Male"/>
    <n v="3"/>
    <s v="Rent"/>
    <s v="Little"/>
    <s v="Little"/>
    <n v="3345"/>
    <n v="24"/>
    <x v="2"/>
    <x v="0"/>
    <s v="Senior"/>
    <s v="Medium"/>
    <s v="Medium Risk"/>
  </r>
  <r>
    <n v="28"/>
    <s v="Female"/>
    <n v="2"/>
    <s v="Own"/>
    <s v="Little"/>
    <s v="Unknown"/>
    <n v="1817"/>
    <n v="18"/>
    <x v="2"/>
    <x v="0"/>
    <s v="Young"/>
    <s v="Medium"/>
    <s v="Low Risk"/>
  </r>
  <r>
    <n v="37"/>
    <s v="Male"/>
    <n v="3"/>
    <s v="Own"/>
    <s v="Quite rich"/>
    <s v="Unknown"/>
    <n v="12749"/>
    <n v="48"/>
    <x v="0"/>
    <x v="1"/>
    <s v="Senior"/>
    <s v="Long"/>
    <s v="HighRisk"/>
  </r>
  <r>
    <n v="22"/>
    <s v="Female"/>
    <n v="2"/>
    <s v="Rent"/>
    <s v="Little"/>
    <s v="Little"/>
    <n v="1366"/>
    <n v="9"/>
    <x v="0"/>
    <x v="0"/>
    <s v="Young"/>
    <s v="Short"/>
    <s v="Low Risk"/>
  </r>
  <r>
    <n v="30"/>
    <s v="Male"/>
    <n v="2"/>
    <s v="Rent"/>
    <s v="Little"/>
    <s v="Moderate"/>
    <n v="2002"/>
    <n v="12"/>
    <x v="3"/>
    <x v="0"/>
    <s v="Senior"/>
    <s v="Medium"/>
    <s v="Low Risk"/>
  </r>
  <r>
    <n v="55"/>
    <s v="Male"/>
    <n v="2"/>
    <s v="Own"/>
    <s v="Little"/>
    <s v="Little"/>
    <n v="6872"/>
    <n v="24"/>
    <x v="2"/>
    <x v="0"/>
    <s v="Adult"/>
    <s v="Medium"/>
    <s v="HighRisk"/>
  </r>
  <r>
    <n v="46"/>
    <s v="Male"/>
    <n v="2"/>
    <s v="Own"/>
    <s v="Little"/>
    <s v="Little"/>
    <n v="697"/>
    <n v="12"/>
    <x v="3"/>
    <x v="0"/>
    <s v="Senior"/>
    <s v="Medium"/>
    <s v="Low Risk"/>
  </r>
  <r>
    <n v="21"/>
    <s v="Female"/>
    <n v="2"/>
    <s v="Rent"/>
    <s v="Little"/>
    <s v="Little"/>
    <n v="1049"/>
    <n v="18"/>
    <x v="2"/>
    <x v="0"/>
    <s v="Young"/>
    <s v="Medium"/>
    <s v="Low Risk"/>
  </r>
  <r>
    <n v="39"/>
    <s v="Male"/>
    <n v="2"/>
    <s v="Free"/>
    <s v="Little"/>
    <s v="Little"/>
    <n v="10297"/>
    <n v="48"/>
    <x v="3"/>
    <x v="1"/>
    <s v="Senior"/>
    <s v="Long"/>
    <s v="HighRisk"/>
  </r>
  <r>
    <n v="58"/>
    <s v="Male"/>
    <n v="2"/>
    <s v="Own"/>
    <s v="Unknown"/>
    <s v="Unknown"/>
    <n v="1867"/>
    <n v="30"/>
    <x v="0"/>
    <x v="0"/>
    <s v="Adult"/>
    <s v="Medium"/>
    <s v="Low Risk"/>
  </r>
  <r>
    <n v="43"/>
    <s v="Male"/>
    <n v="1"/>
    <s v="Own"/>
    <s v="Little"/>
    <s v="Little"/>
    <n v="1344"/>
    <n v="12"/>
    <x v="3"/>
    <x v="0"/>
    <s v="Senior"/>
    <s v="Medium"/>
    <s v="Low Risk"/>
  </r>
  <r>
    <n v="24"/>
    <s v="Male"/>
    <n v="1"/>
    <s v="Own"/>
    <s v="Little"/>
    <s v="Little"/>
    <n v="1747"/>
    <n v="24"/>
    <x v="2"/>
    <x v="0"/>
    <s v="Young"/>
    <s v="Medium"/>
    <s v="Low Risk"/>
  </r>
  <r>
    <n v="22"/>
    <s v="Female"/>
    <n v="2"/>
    <s v="Own"/>
    <s v="Little"/>
    <s v="Moderate"/>
    <n v="1670"/>
    <n v="9"/>
    <x v="0"/>
    <x v="0"/>
    <s v="Young"/>
    <s v="Short"/>
    <s v="Low Risk"/>
  </r>
  <r>
    <n v="30"/>
    <s v="Male"/>
    <n v="2"/>
    <s v="Own"/>
    <s v="Little"/>
    <s v="Unknown"/>
    <n v="1224"/>
    <n v="9"/>
    <x v="3"/>
    <x v="0"/>
    <s v="Senior"/>
    <s v="Short"/>
    <s v="Low Risk"/>
  </r>
  <r>
    <n v="42"/>
    <s v="Male"/>
    <n v="2"/>
    <s v="Own"/>
    <s v="Quite rich"/>
    <s v="Unknown"/>
    <n v="522"/>
    <n v="12"/>
    <x v="0"/>
    <x v="0"/>
    <s v="Senior"/>
    <s v="Medium"/>
    <s v="Low Risk"/>
  </r>
  <r>
    <n v="23"/>
    <s v="Female"/>
    <n v="2"/>
    <s v="Own"/>
    <s v="Little"/>
    <s v="Little"/>
    <n v="1498"/>
    <n v="12"/>
    <x v="0"/>
    <x v="0"/>
    <s v="Young"/>
    <s v="Medium"/>
    <s v="Low Risk"/>
  </r>
  <r>
    <n v="30"/>
    <s v="Male"/>
    <n v="3"/>
    <s v="Own"/>
    <s v="Moderate"/>
    <s v="Moderate"/>
    <n v="1919"/>
    <n v="30"/>
    <x v="0"/>
    <x v="0"/>
    <s v="Senior"/>
    <s v="Medium"/>
    <s v="Low Risk"/>
  </r>
  <r>
    <n v="28"/>
    <s v="Female"/>
    <n v="1"/>
    <s v="Own"/>
    <s v="Little"/>
    <s v="rich"/>
    <n v="745"/>
    <n v="9"/>
    <x v="0"/>
    <x v="0"/>
    <s v="Young"/>
    <s v="Short"/>
    <s v="Low Risk"/>
  </r>
  <r>
    <n v="30"/>
    <s v="Male"/>
    <n v="3"/>
    <s v="Rent"/>
    <s v="Little"/>
    <s v="Moderate"/>
    <n v="2063"/>
    <n v="6"/>
    <x v="0"/>
    <x v="0"/>
    <s v="Senior"/>
    <s v="Short"/>
    <s v="Low Risk"/>
  </r>
  <r>
    <n v="42"/>
    <s v="Male"/>
    <n v="2"/>
    <s v="Free"/>
    <s v="Little"/>
    <s v="Moderate"/>
    <n v="6288"/>
    <n v="60"/>
    <x v="1"/>
    <x v="1"/>
    <s v="Senior"/>
    <s v="Long"/>
    <s v="HighRisk"/>
  </r>
  <r>
    <n v="46"/>
    <s v="Male"/>
    <n v="3"/>
    <s v="Own"/>
    <s v="Unknown"/>
    <s v="Unknown"/>
    <n v="6842"/>
    <n v="24"/>
    <x v="3"/>
    <x v="0"/>
    <s v="Senior"/>
    <s v="Medium"/>
    <s v="HighRisk"/>
  </r>
  <r>
    <n v="45"/>
    <s v="Male"/>
    <n v="3"/>
    <s v="Own"/>
    <s v="Unknown"/>
    <s v="Unknown"/>
    <n v="3527"/>
    <n v="12"/>
    <x v="3"/>
    <x v="0"/>
    <s v="Senior"/>
    <s v="Medium"/>
    <s v="Medium Risk"/>
  </r>
  <r>
    <n v="31"/>
    <s v="Male"/>
    <n v="1"/>
    <s v="Own"/>
    <s v="Little"/>
    <s v="Unknown"/>
    <n v="1546"/>
    <n v="10"/>
    <x v="3"/>
    <x v="0"/>
    <s v="Senior"/>
    <s v="Short"/>
    <s v="Low Risk"/>
  </r>
  <r>
    <n v="31"/>
    <s v="Male"/>
    <n v="2"/>
    <s v="Own"/>
    <s v="Unknown"/>
    <s v="Unknown"/>
    <n v="929"/>
    <n v="24"/>
    <x v="2"/>
    <x v="0"/>
    <s v="Senior"/>
    <s v="Medium"/>
    <s v="Low Risk"/>
  </r>
  <r>
    <n v="42"/>
    <s v="Male"/>
    <n v="1"/>
    <s v="Own"/>
    <s v="Little"/>
    <s v="Unknown"/>
    <n v="1455"/>
    <n v="4"/>
    <x v="3"/>
    <x v="0"/>
    <s v="Senior"/>
    <s v="Short"/>
    <s v="Low Risk"/>
  </r>
  <r>
    <n v="46"/>
    <s v="Female"/>
    <n v="2"/>
    <s v="Rent"/>
    <s v="Little"/>
    <s v="Little"/>
    <n v="1845"/>
    <n v="15"/>
    <x v="2"/>
    <x v="0"/>
    <s v="Senior"/>
    <s v="Medium"/>
    <s v="Low Risk"/>
  </r>
  <r>
    <n v="30"/>
    <s v="Female"/>
    <n v="2"/>
    <s v="Own"/>
    <s v="Quite rich"/>
    <s v="Moderate"/>
    <n v="8358"/>
    <n v="48"/>
    <x v="3"/>
    <x v="1"/>
    <s v="Senior"/>
    <s v="Long"/>
    <s v="HighRisk"/>
  </r>
  <r>
    <n v="30"/>
    <s v="Male"/>
    <n v="2"/>
    <s v="Free"/>
    <s v="Quite rich"/>
    <s v="Little"/>
    <n v="3349"/>
    <n v="24"/>
    <x v="2"/>
    <x v="0"/>
    <s v="Senior"/>
    <s v="Medium"/>
    <s v="Medium Risk"/>
  </r>
  <r>
    <n v="38"/>
    <s v="Male"/>
    <n v="3"/>
    <s v="Own"/>
    <s v="Unknown"/>
    <s v="Unknown"/>
    <n v="2859"/>
    <n v="12"/>
    <x v="3"/>
    <x v="0"/>
    <s v="Senior"/>
    <s v="Medium"/>
    <s v="Low Risk"/>
  </r>
  <r>
    <n v="43"/>
    <s v="Male"/>
    <n v="1"/>
    <s v="Own"/>
    <s v="Little"/>
    <s v="Unknown"/>
    <n v="1533"/>
    <n v="18"/>
    <x v="2"/>
    <x v="0"/>
    <s v="Senior"/>
    <s v="Medium"/>
    <s v="Low Risk"/>
  </r>
  <r>
    <n v="31"/>
    <s v="Male"/>
    <n v="2"/>
    <s v="Own"/>
    <s v="Moderate"/>
    <s v="Unknown"/>
    <n v="3621"/>
    <n v="24"/>
    <x v="0"/>
    <x v="0"/>
    <s v="Senior"/>
    <s v="Medium"/>
    <s v="Medium Risk"/>
  </r>
  <r>
    <n v="40"/>
    <s v="Male"/>
    <n v="0"/>
    <s v="Own"/>
    <s v="Little"/>
    <s v="Moderate"/>
    <n v="3590"/>
    <n v="18"/>
    <x v="4"/>
    <x v="0"/>
    <s v="Senior"/>
    <s v="Medium"/>
    <s v="Medium Risk"/>
  </r>
  <r>
    <n v="24"/>
    <s v="Male"/>
    <n v="2"/>
    <s v="Own"/>
    <s v="Little"/>
    <s v="Little"/>
    <n v="2145"/>
    <n v="36"/>
    <x v="4"/>
    <x v="0"/>
    <s v="Young"/>
    <s v="Long"/>
    <s v="Low Risk"/>
  </r>
  <r>
    <n v="28"/>
    <s v="Female"/>
    <n v="2"/>
    <s v="Rent"/>
    <s v="Quite rich"/>
    <s v="Moderate"/>
    <n v="4113"/>
    <n v="24"/>
    <x v="3"/>
    <x v="0"/>
    <s v="Young"/>
    <s v="Medium"/>
    <s v="Medium Risk"/>
  </r>
  <r>
    <n v="26"/>
    <s v="Female"/>
    <n v="3"/>
    <s v="Own"/>
    <s v="Little"/>
    <s v="Unknown"/>
    <n v="10974"/>
    <n v="36"/>
    <x v="2"/>
    <x v="1"/>
    <s v="Young"/>
    <s v="Long"/>
    <s v="HighRisk"/>
  </r>
  <r>
    <n v="29"/>
    <s v="Female"/>
    <n v="2"/>
    <s v="Own"/>
    <s v="Little"/>
    <s v="Little"/>
    <n v="1893"/>
    <n v="12"/>
    <x v="3"/>
    <x v="0"/>
    <s v="Young"/>
    <s v="Medium"/>
    <s v="Low Risk"/>
  </r>
  <r>
    <n v="57"/>
    <s v="Female"/>
    <n v="3"/>
    <s v="Rent"/>
    <s v="rich"/>
    <s v="Little"/>
    <n v="1231"/>
    <n v="24"/>
    <x v="0"/>
    <x v="0"/>
    <s v="Adult"/>
    <s v="Medium"/>
    <s v="Low Risk"/>
  </r>
  <r>
    <n v="49"/>
    <s v="Male"/>
    <n v="1"/>
    <s v="Own"/>
    <s v="Unknown"/>
    <s v="rich"/>
    <n v="3656"/>
    <n v="30"/>
    <x v="0"/>
    <x v="0"/>
    <s v="Senior"/>
    <s v="Medium"/>
    <s v="Medium Risk"/>
  </r>
  <r>
    <n v="37"/>
    <s v="Male"/>
    <n v="1"/>
    <s v="Own"/>
    <s v="Little"/>
    <s v="Moderate"/>
    <n v="1154"/>
    <n v="9"/>
    <x v="0"/>
    <x v="0"/>
    <s v="Senior"/>
    <s v="Short"/>
    <s v="Low Risk"/>
  </r>
  <r>
    <n v="45"/>
    <s v="Male"/>
    <n v="1"/>
    <s v="Own"/>
    <s v="Little"/>
    <s v="Little"/>
    <n v="4006"/>
    <n v="28"/>
    <x v="3"/>
    <x v="2"/>
    <s v="Senior"/>
    <s v="Medium"/>
    <s v="Medium Risk"/>
  </r>
  <r>
    <n v="30"/>
    <s v="Male"/>
    <n v="2"/>
    <s v="Free"/>
    <s v="Moderate"/>
    <s v="Moderate"/>
    <n v="3069"/>
    <n v="24"/>
    <x v="2"/>
    <x v="0"/>
    <s v="Senior"/>
    <s v="Medium"/>
    <s v="Medium Risk"/>
  </r>
  <r>
    <n v="30"/>
    <s v="Male"/>
    <n v="2"/>
    <s v="Rent"/>
    <s v="Little"/>
    <s v="Unknown"/>
    <n v="1740"/>
    <n v="6"/>
    <x v="0"/>
    <x v="0"/>
    <s v="Senior"/>
    <s v="Short"/>
    <s v="Low Risk"/>
  </r>
  <r>
    <n v="47"/>
    <s v="Male"/>
    <n v="2"/>
    <s v="Own"/>
    <s v="Little"/>
    <s v="Moderate"/>
    <n v="2353"/>
    <n v="21"/>
    <x v="3"/>
    <x v="0"/>
    <s v="Senior"/>
    <s v="Medium"/>
    <s v="Low Risk"/>
  </r>
  <r>
    <n v="29"/>
    <s v="Male"/>
    <n v="2"/>
    <s v="Own"/>
    <s v="Unknown"/>
    <s v="Unknown"/>
    <n v="3556"/>
    <n v="15"/>
    <x v="3"/>
    <x v="0"/>
    <s v="Young"/>
    <s v="Medium"/>
    <s v="Medium Risk"/>
  </r>
  <r>
    <n v="35"/>
    <s v="Male"/>
    <n v="2"/>
    <s v="Own"/>
    <s v="Quite rich"/>
    <s v="Unknown"/>
    <n v="2397"/>
    <n v="24"/>
    <x v="0"/>
    <x v="0"/>
    <s v="Senior"/>
    <s v="Medium"/>
    <s v="Low Risk"/>
  </r>
  <r>
    <n v="22"/>
    <s v="Male"/>
    <n v="1"/>
    <s v="Own"/>
    <s v="Little"/>
    <s v="Moderate"/>
    <n v="454"/>
    <n v="6"/>
    <x v="6"/>
    <x v="0"/>
    <s v="Young"/>
    <s v="Short"/>
    <s v="Low Risk"/>
  </r>
  <r>
    <n v="26"/>
    <s v="Female"/>
    <n v="2"/>
    <s v="Own"/>
    <s v="Unknown"/>
    <s v="Moderate"/>
    <n v="1715"/>
    <n v="30"/>
    <x v="0"/>
    <x v="0"/>
    <s v="Young"/>
    <s v="Medium"/>
    <s v="Low Risk"/>
  </r>
  <r>
    <n v="23"/>
    <s v="Male"/>
    <n v="1"/>
    <s v="Own"/>
    <s v="Quite rich"/>
    <s v="Moderate"/>
    <n v="2520"/>
    <n v="27"/>
    <x v="0"/>
    <x v="0"/>
    <s v="Young"/>
    <s v="Medium"/>
    <s v="Low Risk"/>
  </r>
  <r>
    <n v="54"/>
    <s v="Female"/>
    <n v="3"/>
    <s v="Rent"/>
    <s v="Little"/>
    <s v="Unknown"/>
    <n v="3568"/>
    <n v="15"/>
    <x v="0"/>
    <x v="0"/>
    <s v="Adult"/>
    <s v="Medium"/>
    <s v="Medium Risk"/>
  </r>
  <r>
    <n v="29"/>
    <s v="Male"/>
    <n v="2"/>
    <s v="Rent"/>
    <s v="Unknown"/>
    <s v="Unknown"/>
    <n v="7166"/>
    <n v="42"/>
    <x v="0"/>
    <x v="1"/>
    <s v="Young"/>
    <s v="Long"/>
    <s v="HighRisk"/>
  </r>
  <r>
    <n v="40"/>
    <s v="Male"/>
    <n v="1"/>
    <s v="Own"/>
    <s v="Little"/>
    <s v="Little"/>
    <n v="3939"/>
    <n v="11"/>
    <x v="3"/>
    <x v="0"/>
    <s v="Senior"/>
    <s v="Short"/>
    <s v="Medium Risk"/>
  </r>
  <r>
    <n v="22"/>
    <s v="Male"/>
    <n v="2"/>
    <s v="Own"/>
    <s v="Moderate"/>
    <s v="Moderate"/>
    <n v="1514"/>
    <n v="15"/>
    <x v="6"/>
    <x v="0"/>
    <s v="Young"/>
    <s v="Medium"/>
    <s v="Low Risk"/>
  </r>
  <r>
    <n v="43"/>
    <s v="Male"/>
    <n v="1"/>
    <s v="Own"/>
    <s v="Little"/>
    <s v="Unknown"/>
    <n v="7393"/>
    <n v="24"/>
    <x v="3"/>
    <x v="1"/>
    <s v="Senior"/>
    <s v="Medium"/>
    <s v="HighRisk"/>
  </r>
  <r>
    <n v="29"/>
    <s v="Female"/>
    <n v="0"/>
    <s v="Rent"/>
    <s v="Little"/>
    <s v="Little"/>
    <n v="1193"/>
    <n v="24"/>
    <x v="3"/>
    <x v="0"/>
    <s v="Young"/>
    <s v="Medium"/>
    <s v="Low Risk"/>
  </r>
  <r>
    <n v="36"/>
    <s v="Male"/>
    <n v="2"/>
    <s v="Rent"/>
    <s v="Little"/>
    <s v="Little"/>
    <n v="7297"/>
    <n v="60"/>
    <x v="4"/>
    <x v="1"/>
    <s v="Senior"/>
    <s v="Long"/>
    <s v="HighRisk"/>
  </r>
  <r>
    <n v="33"/>
    <s v="Female"/>
    <n v="2"/>
    <s v="Own"/>
    <s v="Little"/>
    <s v="Unknown"/>
    <n v="2831"/>
    <n v="30"/>
    <x v="0"/>
    <x v="0"/>
    <s v="Senior"/>
    <s v="Medium"/>
    <s v="Low Risk"/>
  </r>
  <r>
    <n v="57"/>
    <s v="Female"/>
    <n v="1"/>
    <s v="Own"/>
    <s v="Quite rich"/>
    <s v="rich"/>
    <n v="1258"/>
    <n v="24"/>
    <x v="0"/>
    <x v="0"/>
    <s v="Adult"/>
    <s v="Medium"/>
    <s v="Low Risk"/>
  </r>
  <r>
    <n v="64"/>
    <s v="Female"/>
    <n v="2"/>
    <s v="Own"/>
    <s v="Little"/>
    <s v="Moderate"/>
    <n v="753"/>
    <n v="6"/>
    <x v="0"/>
    <x v="0"/>
    <s v="Adult"/>
    <s v="Short"/>
    <s v="Low Risk"/>
  </r>
  <r>
    <n v="42"/>
    <s v="Male"/>
    <n v="2"/>
    <s v="Own"/>
    <s v="Unknown"/>
    <s v="Moderate"/>
    <n v="2427"/>
    <n v="18"/>
    <x v="4"/>
    <x v="0"/>
    <s v="Senior"/>
    <s v="Medium"/>
    <s v="Low Risk"/>
  </r>
  <r>
    <n v="47"/>
    <s v="Male"/>
    <n v="1"/>
    <s v="Own"/>
    <s v="Little"/>
    <s v="Unknown"/>
    <n v="2538"/>
    <n v="24"/>
    <x v="3"/>
    <x v="0"/>
    <s v="Senior"/>
    <s v="Medium"/>
    <s v="Low Risk"/>
  </r>
  <r>
    <n v="25"/>
    <s v="Male"/>
    <n v="2"/>
    <s v="Rent"/>
    <s v="Moderate"/>
    <s v="Moderate"/>
    <n v="1264"/>
    <n v="15"/>
    <x v="3"/>
    <x v="0"/>
    <s v="Young"/>
    <s v="Medium"/>
    <s v="Low Risk"/>
  </r>
  <r>
    <n v="49"/>
    <s v="Male"/>
    <n v="2"/>
    <s v="Own"/>
    <s v="Little"/>
    <s v="Moderate"/>
    <n v="8386"/>
    <n v="30"/>
    <x v="2"/>
    <x v="1"/>
    <s v="Senior"/>
    <s v="Medium"/>
    <s v="HighRisk"/>
  </r>
  <r>
    <n v="33"/>
    <s v="Male"/>
    <n v="3"/>
    <s v="Rent"/>
    <s v="Little"/>
    <s v="Unknown"/>
    <n v="4844"/>
    <n v="48"/>
    <x v="4"/>
    <x v="1"/>
    <s v="Senior"/>
    <s v="Long"/>
    <s v="Medium Risk"/>
  </r>
  <r>
    <n v="28"/>
    <s v="Female"/>
    <n v="3"/>
    <s v="Own"/>
    <s v="Moderate"/>
    <s v="rich"/>
    <n v="2923"/>
    <n v="21"/>
    <x v="3"/>
    <x v="0"/>
    <s v="Young"/>
    <s v="Medium"/>
    <s v="Low Risk"/>
  </r>
  <r>
    <n v="26"/>
    <s v="Male"/>
    <n v="2"/>
    <s v="Own"/>
    <s v="Little"/>
    <s v="Little"/>
    <n v="8229"/>
    <n v="36"/>
    <x v="3"/>
    <x v="1"/>
    <s v="Young"/>
    <s v="Long"/>
    <s v="HighRisk"/>
  </r>
  <r>
    <n v="30"/>
    <s v="Male"/>
    <n v="1"/>
    <s v="Own"/>
    <s v="Little"/>
    <s v="Unknown"/>
    <n v="2028"/>
    <n v="24"/>
    <x v="2"/>
    <x v="0"/>
    <s v="Senior"/>
    <s v="Medium"/>
    <s v="Low Risk"/>
  </r>
  <r>
    <n v="25"/>
    <s v="Female"/>
    <n v="2"/>
    <s v="Rent"/>
    <s v="Little"/>
    <s v="Little"/>
    <n v="1433"/>
    <n v="15"/>
    <x v="2"/>
    <x v="0"/>
    <s v="Young"/>
    <s v="Medium"/>
    <s v="Low Risk"/>
  </r>
  <r>
    <n v="33"/>
    <s v="Male"/>
    <n v="2"/>
    <s v="Own"/>
    <s v="Little"/>
    <s v="rich"/>
    <n v="6289"/>
    <n v="42"/>
    <x v="4"/>
    <x v="1"/>
    <s v="Senior"/>
    <s v="Long"/>
    <s v="HighRisk"/>
  </r>
  <r>
    <n v="64"/>
    <s v="Female"/>
    <n v="2"/>
    <s v="Own"/>
    <s v="Moderate"/>
    <s v="Unknown"/>
    <n v="1409"/>
    <n v="13"/>
    <x v="0"/>
    <x v="0"/>
    <s v="Adult"/>
    <s v="Medium"/>
    <s v="Low Risk"/>
  </r>
  <r>
    <n v="29"/>
    <s v="Male"/>
    <n v="3"/>
    <s v="Free"/>
    <s v="Little"/>
    <s v="Little"/>
    <n v="6579"/>
    <n v="24"/>
    <x v="3"/>
    <x v="0"/>
    <s v="Young"/>
    <s v="Medium"/>
    <s v="HighRisk"/>
  </r>
  <r>
    <n v="48"/>
    <s v="Male"/>
    <n v="1"/>
    <s v="Own"/>
    <s v="Little"/>
    <s v="Moderate"/>
    <n v="1743"/>
    <n v="24"/>
    <x v="0"/>
    <x v="0"/>
    <s v="Senior"/>
    <s v="Medium"/>
    <s v="Low Risk"/>
  </r>
  <r>
    <n v="37"/>
    <s v="Male"/>
    <n v="1"/>
    <s v="Own"/>
    <s v="Unknown"/>
    <s v="Unknown"/>
    <n v="3565"/>
    <n v="12"/>
    <x v="1"/>
    <x v="0"/>
    <s v="Senior"/>
    <s v="Medium"/>
    <s v="Medium Risk"/>
  </r>
  <r>
    <n v="34"/>
    <s v="Male"/>
    <n v="1"/>
    <s v="Own"/>
    <s v="Moderate"/>
    <s v="Unknown"/>
    <n v="1569"/>
    <n v="15"/>
    <x v="0"/>
    <x v="0"/>
    <s v="Senior"/>
    <s v="Medium"/>
    <s v="Low Risk"/>
  </r>
  <r>
    <n v="23"/>
    <s v="Male"/>
    <n v="1"/>
    <s v="Rent"/>
    <s v="Unknown"/>
    <s v="Little"/>
    <n v="1936"/>
    <n v="18"/>
    <x v="0"/>
    <x v="0"/>
    <s v="Young"/>
    <s v="Medium"/>
    <s v="Low Risk"/>
  </r>
  <r>
    <n v="30"/>
    <s v="Male"/>
    <n v="3"/>
    <s v="Own"/>
    <s v="Little"/>
    <s v="Little"/>
    <n v="3959"/>
    <n v="36"/>
    <x v="2"/>
    <x v="0"/>
    <s v="Senior"/>
    <s v="Long"/>
    <s v="Medium Risk"/>
  </r>
  <r>
    <n v="50"/>
    <s v="Male"/>
    <n v="2"/>
    <s v="Own"/>
    <s v="Unknown"/>
    <s v="Unknown"/>
    <n v="2390"/>
    <n v="12"/>
    <x v="3"/>
    <x v="0"/>
    <s v="Senior"/>
    <s v="Medium"/>
    <s v="Low Risk"/>
  </r>
  <r>
    <n v="31"/>
    <s v="Female"/>
    <n v="1"/>
    <s v="Own"/>
    <s v="Little"/>
    <s v="Unknown"/>
    <n v="1736"/>
    <n v="12"/>
    <x v="2"/>
    <x v="0"/>
    <s v="Senior"/>
    <s v="Medium"/>
    <s v="Low Risk"/>
  </r>
  <r>
    <n v="40"/>
    <s v="Male"/>
    <n v="3"/>
    <s v="Own"/>
    <s v="Little"/>
    <s v="Little"/>
    <n v="3857"/>
    <n v="30"/>
    <x v="3"/>
    <x v="0"/>
    <s v="Senior"/>
    <s v="Medium"/>
    <s v="Medium Risk"/>
  </r>
  <r>
    <n v="38"/>
    <s v="Male"/>
    <n v="2"/>
    <s v="Own"/>
    <s v="Little"/>
    <s v="Unknown"/>
    <n v="804"/>
    <n v="12"/>
    <x v="0"/>
    <x v="0"/>
    <s v="Senior"/>
    <s v="Medium"/>
    <s v="Low Risk"/>
  </r>
  <r>
    <n v="23"/>
    <s v="Male"/>
    <n v="2"/>
    <s v="Free"/>
    <s v="Little"/>
    <s v="Little"/>
    <n v="1845"/>
    <n v="45"/>
    <x v="0"/>
    <x v="1"/>
    <s v="Young"/>
    <s v="Long"/>
    <s v="Low Risk"/>
  </r>
  <r>
    <n v="27"/>
    <s v="Male"/>
    <n v="2"/>
    <s v="Own"/>
    <s v="Moderate"/>
    <s v="Moderate"/>
    <n v="4576"/>
    <n v="45"/>
    <x v="3"/>
    <x v="1"/>
    <s v="Young"/>
    <s v="Long"/>
    <s v="Medium Ris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15AC83-9BF7-402B-9A51-DE8EC7565BB2}"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4:E64" firstHeaderRow="1" firstDataRow="2" firstDataCol="1"/>
  <pivotFields count="13">
    <pivotField showAll="0"/>
    <pivotField showAll="0"/>
    <pivotField showAll="0"/>
    <pivotField showAll="0"/>
    <pivotField showAll="0"/>
    <pivotField showAll="0"/>
    <pivotField showAll="0"/>
    <pivotField showAll="0"/>
    <pivotField axis="axisRow" showAll="0">
      <items count="9">
        <item x="4"/>
        <item x="3"/>
        <item x="5"/>
        <item x="1"/>
        <item x="2"/>
        <item x="0"/>
        <item x="6"/>
        <item x="7"/>
        <item t="default"/>
      </items>
    </pivotField>
    <pivotField axis="axisCol" dataField="1" showAll="0">
      <items count="4">
        <item x="1"/>
        <item x="0"/>
        <item x="2"/>
        <item t="default"/>
      </items>
    </pivotField>
    <pivotField showAll="0"/>
    <pivotField showAll="0"/>
    <pivotField showAll="0"/>
  </pivotFields>
  <rowFields count="1">
    <field x="8"/>
  </rowFields>
  <rowItems count="9">
    <i>
      <x/>
    </i>
    <i>
      <x v="1"/>
    </i>
    <i>
      <x v="2"/>
    </i>
    <i>
      <x v="3"/>
    </i>
    <i>
      <x v="4"/>
    </i>
    <i>
      <x v="5"/>
    </i>
    <i>
      <x v="6"/>
    </i>
    <i>
      <x v="7"/>
    </i>
    <i t="grand">
      <x/>
    </i>
  </rowItems>
  <colFields count="1">
    <field x="9"/>
  </colFields>
  <colItems count="4">
    <i>
      <x/>
    </i>
    <i>
      <x v="1"/>
    </i>
    <i>
      <x v="2"/>
    </i>
    <i t="grand">
      <x/>
    </i>
  </colItems>
  <dataFields count="1">
    <dataField name="Count of Risk " fld="9" subtotal="count" baseField="0" baseItem="0"/>
  </dataFields>
  <chartFormats count="6">
    <chartFormat chart="5" format="0" series="1">
      <pivotArea type="data" outline="0" fieldPosition="0">
        <references count="2">
          <reference field="4294967294" count="1" selected="0">
            <x v="0"/>
          </reference>
          <reference field="9" count="1" selected="0">
            <x v="0"/>
          </reference>
        </references>
      </pivotArea>
    </chartFormat>
    <chartFormat chart="5" format="1" series="1">
      <pivotArea type="data" outline="0" fieldPosition="0">
        <references count="2">
          <reference field="4294967294" count="1" selected="0">
            <x v="0"/>
          </reference>
          <reference field="9" count="1" selected="0">
            <x v="1"/>
          </reference>
        </references>
      </pivotArea>
    </chartFormat>
    <chartFormat chart="5" format="2" series="1">
      <pivotArea type="data" outline="0" fieldPosition="0">
        <references count="2">
          <reference field="4294967294" count="1" selected="0">
            <x v="0"/>
          </reference>
          <reference field="9" count="1" selected="0">
            <x v="2"/>
          </reference>
        </references>
      </pivotArea>
    </chartFormat>
    <chartFormat chart="20" format="6" series="1">
      <pivotArea type="data" outline="0" fieldPosition="0">
        <references count="2">
          <reference field="4294967294" count="1" selected="0">
            <x v="0"/>
          </reference>
          <reference field="9" count="1" selected="0">
            <x v="0"/>
          </reference>
        </references>
      </pivotArea>
    </chartFormat>
    <chartFormat chart="20" format="7" series="1">
      <pivotArea type="data" outline="0" fieldPosition="0">
        <references count="2">
          <reference field="4294967294" count="1" selected="0">
            <x v="0"/>
          </reference>
          <reference field="9" count="1" selected="0">
            <x v="1"/>
          </reference>
        </references>
      </pivotArea>
    </chartFormat>
    <chartFormat chart="20"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51DDA7-1727-43B5-AEDA-3455BA277248}"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7:E42" firstHeaderRow="1" firstDataRow="2" firstDataCol="1"/>
  <pivotFields count="12">
    <pivotField showAll="0"/>
    <pivotField showAll="0"/>
    <pivotField showAll="0"/>
    <pivotField showAll="0"/>
    <pivotField showAll="0"/>
    <pivotField showAll="0"/>
    <pivotField showAll="0"/>
    <pivotField showAll="0"/>
    <pivotField showAll="0"/>
    <pivotField axis="axisCol" dataField="1" showAll="0">
      <items count="4">
        <item x="1"/>
        <item x="0"/>
        <item x="2"/>
        <item t="default"/>
      </items>
    </pivotField>
    <pivotField showAll="0">
      <items count="4">
        <item x="0"/>
        <item x="2"/>
        <item x="1"/>
        <item t="default"/>
      </items>
    </pivotField>
    <pivotField axis="axisRow" showAll="0">
      <items count="4">
        <item x="0"/>
        <item x="2"/>
        <item x="1"/>
        <item t="default"/>
      </items>
    </pivotField>
  </pivotFields>
  <rowFields count="1">
    <field x="11"/>
  </rowFields>
  <rowItems count="4">
    <i>
      <x/>
    </i>
    <i>
      <x v="1"/>
    </i>
    <i>
      <x v="2"/>
    </i>
    <i t="grand">
      <x/>
    </i>
  </rowItems>
  <colFields count="1">
    <field x="9"/>
  </colFields>
  <colItems count="4">
    <i>
      <x/>
    </i>
    <i>
      <x v="1"/>
    </i>
    <i>
      <x v="2"/>
    </i>
    <i t="grand">
      <x/>
    </i>
  </colItems>
  <dataFields count="1">
    <dataField name="Count of Risk " fld="9" subtotal="count" baseField="0" baseItem="0"/>
  </dataFields>
  <chartFormats count="6">
    <chartFormat chart="5" format="0" series="1">
      <pivotArea type="data" outline="0" fieldPosition="0">
        <references count="2">
          <reference field="4294967294" count="1" selected="0">
            <x v="0"/>
          </reference>
          <reference field="9" count="1" selected="0">
            <x v="0"/>
          </reference>
        </references>
      </pivotArea>
    </chartFormat>
    <chartFormat chart="5" format="1" series="1">
      <pivotArea type="data" outline="0" fieldPosition="0">
        <references count="2">
          <reference field="4294967294" count="1" selected="0">
            <x v="0"/>
          </reference>
          <reference field="9" count="1" selected="0">
            <x v="1"/>
          </reference>
        </references>
      </pivotArea>
    </chartFormat>
    <chartFormat chart="5" format="2" series="1">
      <pivotArea type="data" outline="0" fieldPosition="0">
        <references count="2">
          <reference field="4294967294" count="1" selected="0">
            <x v="0"/>
          </reference>
          <reference field="9" count="1" selected="0">
            <x v="2"/>
          </reference>
        </references>
      </pivotArea>
    </chartFormat>
    <chartFormat chart="20" format="6" series="1">
      <pivotArea type="data" outline="0" fieldPosition="0">
        <references count="2">
          <reference field="4294967294" count="1" selected="0">
            <x v="0"/>
          </reference>
          <reference field="9" count="1" selected="0">
            <x v="0"/>
          </reference>
        </references>
      </pivotArea>
    </chartFormat>
    <chartFormat chart="20" format="7" series="1">
      <pivotArea type="data" outline="0" fieldPosition="0">
        <references count="2">
          <reference field="4294967294" count="1" selected="0">
            <x v="0"/>
          </reference>
          <reference field="9" count="1" selected="0">
            <x v="1"/>
          </reference>
        </references>
      </pivotArea>
    </chartFormat>
    <chartFormat chart="20"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0B5F92-FFD8-416C-B2A8-410EA9E063F0}"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3:E28" firstHeaderRow="1" firstDataRow="2" firstDataCol="1"/>
  <pivotFields count="12">
    <pivotField showAll="0"/>
    <pivotField showAll="0"/>
    <pivotField showAll="0"/>
    <pivotField showAll="0"/>
    <pivotField showAll="0"/>
    <pivotField showAll="0"/>
    <pivotField showAll="0"/>
    <pivotField showAll="0"/>
    <pivotField showAll="0"/>
    <pivotField axis="axisCol" dataField="1" showAll="0">
      <items count="4">
        <item x="0"/>
        <item x="2"/>
        <item x="1"/>
        <item t="default"/>
      </items>
    </pivotField>
    <pivotField axis="axisRow" showAll="0">
      <items count="4">
        <item x="0"/>
        <item x="2"/>
        <item x="1"/>
        <item t="default"/>
      </items>
    </pivotField>
    <pivotField showAll="0">
      <items count="4">
        <item x="0"/>
        <item x="2"/>
        <item x="1"/>
        <item t="default"/>
      </items>
    </pivotField>
  </pivotFields>
  <rowFields count="1">
    <field x="10"/>
  </rowFields>
  <rowItems count="4">
    <i>
      <x/>
    </i>
    <i>
      <x v="1"/>
    </i>
    <i>
      <x v="2"/>
    </i>
    <i t="grand">
      <x/>
    </i>
  </rowItems>
  <colFields count="1">
    <field x="9"/>
  </colFields>
  <colItems count="4">
    <i>
      <x/>
    </i>
    <i>
      <x v="1"/>
    </i>
    <i>
      <x v="2"/>
    </i>
    <i t="grand">
      <x/>
    </i>
  </colItems>
  <dataFields count="1">
    <dataField name="Count of Risk " fld="9" subtotal="count" baseField="0" baseItem="0"/>
  </dataFields>
  <chartFormats count="6">
    <chartFormat chart="16" format="0" series="1">
      <pivotArea type="data" outline="0" fieldPosition="0">
        <references count="2">
          <reference field="4294967294" count="1" selected="0">
            <x v="0"/>
          </reference>
          <reference field="9" count="1" selected="0">
            <x v="0"/>
          </reference>
        </references>
      </pivotArea>
    </chartFormat>
    <chartFormat chart="16" format="1" series="1">
      <pivotArea type="data" outline="0" fieldPosition="0">
        <references count="2">
          <reference field="4294967294" count="1" selected="0">
            <x v="0"/>
          </reference>
          <reference field="9" count="1" selected="0">
            <x v="1"/>
          </reference>
        </references>
      </pivotArea>
    </chartFormat>
    <chartFormat chart="16" format="2" series="1">
      <pivotArea type="data" outline="0" fieldPosition="0">
        <references count="2">
          <reference field="4294967294" count="1" selected="0">
            <x v="0"/>
          </reference>
          <reference field="9" count="1" selected="0">
            <x v="2"/>
          </reference>
        </references>
      </pivotArea>
    </chartFormat>
    <chartFormat chart="26" format="6" series="1">
      <pivotArea type="data" outline="0" fieldPosition="0">
        <references count="2">
          <reference field="4294967294" count="1" selected="0">
            <x v="0"/>
          </reference>
          <reference field="9" count="1" selected="0">
            <x v="0"/>
          </reference>
        </references>
      </pivotArea>
    </chartFormat>
    <chartFormat chart="26" format="7" series="1">
      <pivotArea type="data" outline="0" fieldPosition="0">
        <references count="2">
          <reference field="4294967294" count="1" selected="0">
            <x v="0"/>
          </reference>
          <reference field="9" count="1" selected="0">
            <x v="1"/>
          </reference>
        </references>
      </pivotArea>
    </chartFormat>
    <chartFormat chart="26"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262379-8C6B-4F11-A521-511163B4036E}"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3:B7" firstHeaderRow="1" firstDataRow="1" firstDataCol="1"/>
  <pivotFields count="12">
    <pivotField showAll="0"/>
    <pivotField showAll="0"/>
    <pivotField showAll="0"/>
    <pivotField showAll="0"/>
    <pivotField showAll="0"/>
    <pivotField showAll="0"/>
    <pivotField showAll="0"/>
    <pivotField showAll="0"/>
    <pivotField showAll="0"/>
    <pivotField axis="axisRow" dataField="1" showAll="0" nonAutoSortDefault="1">
      <items count="4">
        <item x="0"/>
        <item x="2"/>
        <item x="1"/>
        <item t="default"/>
      </items>
    </pivotField>
    <pivotField showAll="0">
      <items count="4">
        <item x="0"/>
        <item x="2"/>
        <item x="1"/>
        <item t="default"/>
      </items>
    </pivotField>
    <pivotField showAll="0">
      <items count="4">
        <item x="0"/>
        <item x="2"/>
        <item x="1"/>
        <item t="default"/>
      </items>
    </pivotField>
  </pivotFields>
  <rowFields count="1">
    <field x="9"/>
  </rowFields>
  <rowItems count="4">
    <i>
      <x/>
    </i>
    <i>
      <x v="1"/>
    </i>
    <i>
      <x v="2"/>
    </i>
    <i t="grand">
      <x/>
    </i>
  </rowItems>
  <colItems count="1">
    <i/>
  </colItems>
  <dataFields count="1">
    <dataField name="Count of Risk " fld="9" subtotal="count" baseField="0" baseItem="0"/>
  </dataFields>
  <chartFormats count="7">
    <chartFormat chart="44" format="0" series="1">
      <pivotArea type="data" outline="0" fieldPosition="0">
        <references count="1">
          <reference field="4294967294" count="1" selected="0">
            <x v="0"/>
          </reference>
        </references>
      </pivotArea>
    </chartFormat>
    <chartFormat chart="44" format="1">
      <pivotArea type="data" outline="0" fieldPosition="0">
        <references count="2">
          <reference field="4294967294" count="1" selected="0">
            <x v="0"/>
          </reference>
          <reference field="9" count="1" selected="0">
            <x v="2"/>
          </reference>
        </references>
      </pivotArea>
    </chartFormat>
    <chartFormat chart="44" format="2">
      <pivotArea type="data" outline="0" fieldPosition="0">
        <references count="2">
          <reference field="4294967294" count="1" selected="0">
            <x v="0"/>
          </reference>
          <reference field="9" count="1" selected="0">
            <x v="0"/>
          </reference>
        </references>
      </pivotArea>
    </chartFormat>
    <chartFormat chart="50" format="7" series="1">
      <pivotArea type="data" outline="0" fieldPosition="0">
        <references count="1">
          <reference field="4294967294" count="1" selected="0">
            <x v="0"/>
          </reference>
        </references>
      </pivotArea>
    </chartFormat>
    <chartFormat chart="50" format="8">
      <pivotArea type="data" outline="0" fieldPosition="0">
        <references count="2">
          <reference field="4294967294" count="1" selected="0">
            <x v="0"/>
          </reference>
          <reference field="9" count="1" selected="0">
            <x v="0"/>
          </reference>
        </references>
      </pivotArea>
    </chartFormat>
    <chartFormat chart="50" format="9">
      <pivotArea type="data" outline="0" fieldPosition="0">
        <references count="2">
          <reference field="4294967294" count="1" selected="0">
            <x v="0"/>
          </reference>
          <reference field="9" count="1" selected="0">
            <x v="1"/>
          </reference>
        </references>
      </pivotArea>
    </chartFormat>
    <chartFormat chart="50" format="10">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 xr10:uid="{A37FE484-35FB-41DE-BBF2-7A409D74989A}" sourceName="Risk ">
  <pivotTables>
    <pivotTable tabId="3" name="PivotTable3"/>
    <pivotTable tabId="3" name="PivotTable4"/>
    <pivotTable tabId="3" name="PivotTable5"/>
  </pivotTables>
  <data>
    <tabular pivotCacheId="117844165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1F86504-84DF-4DF6-956B-9FDE0820C053}" sourceName="Age Group">
  <pivotTables>
    <pivotTable tabId="3" name="PivotTable5"/>
    <pivotTable tabId="3" name="PivotTable3"/>
    <pivotTable tabId="3" name="PivotTable4"/>
  </pivotTables>
  <data>
    <tabular pivotCacheId="117844165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Duration_Group" xr10:uid="{762BD895-941A-4654-8E50-B0202183D3E4}" sourceName="Loan Duration Group">
  <pivotTables>
    <pivotTable tabId="3" name="PivotTable5"/>
    <pivotTable tabId="3" name="PivotTable3"/>
    <pivotTable tabId="3" name="PivotTable4"/>
  </pivotTables>
  <data>
    <tabular pivotCacheId="117844165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pose" xr10:uid="{0C90A123-6B2A-4B7D-B045-9995BB89F6CC}" sourceName="Purpose">
  <pivotTables>
    <pivotTable tabId="3" name="PivotTable1"/>
  </pivotTables>
  <data>
    <tabular pivotCacheId="588093974">
      <items count="8">
        <i x="4" s="1"/>
        <i x="3" s="1"/>
        <i x="5" s="1"/>
        <i x="1" s="1"/>
        <i x="2" s="1"/>
        <i x="0"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 xr10:uid="{8B79A6D1-E8A0-40B6-8388-AA2D5805D34D}" cache="Slicer_Risk" caption="Risk " style="SlicerStyleLight3" rowHeight="247650"/>
  <slicer name="Age Group" xr10:uid="{046F58A1-F425-4037-A69F-C7304DD0DAD0}" cache="Slicer_Age_Group" caption="Age Group" style="SlicerStyleLight6" rowHeight="247650"/>
  <slicer name="Loan Duration Group" xr10:uid="{6D2B2B7D-D470-4E24-A203-B4578926ED69}" cache="Slicer_Loan_Duration_Group" caption="Loan Duration Group" style="SlicerStyleLight3" rowHeight="247650"/>
  <slicer name="Purpose" xr10:uid="{D97B840E-8CAC-41C1-BC58-CB92C287C5E4}" cache="Slicer_Purpose" caption="Purpose" style="SlicerStyleLight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6399BF-78FB-4A2D-94A2-038860617C8A}" name="Table3" displayName="Table3" ref="R8:T11" totalsRowShown="0" headerRowDxfId="8" dataDxfId="7">
  <autoFilter ref="R8:T11" xr:uid="{506399BF-78FB-4A2D-94A2-038860617C8A}"/>
  <tableColumns count="3">
    <tableColumn id="1" xr3:uid="{CB34AA99-4774-4E44-953C-593F3F2D6FC6}" name="Risk Level" dataDxfId="6">
      <calculatedColumnFormula>'KPI '!A9</calculatedColumnFormula>
    </tableColumn>
    <tableColumn id="2" xr3:uid="{8ABFEECC-A564-42A8-95ED-EACBD341CA5A}" name="Customer Count" dataDxfId="5">
      <calculatedColumnFormula>'KPI '!B9</calculatedColumnFormula>
    </tableColumn>
    <tableColumn id="3" xr3:uid="{32587FC8-E086-4AAA-A662-990375838AAE}" name="Percentage %" dataDxfId="4">
      <calculatedColumnFormula>Table6[[#This Row],[Percentages %]]</calculatedColumnFormula>
    </tableColum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23C4ADF-4F70-47AC-8EA5-E4C16A6D078F}" name="Table6" displayName="Table6" ref="A8:C11" totalsRowShown="0">
  <autoFilter ref="A8:C11" xr:uid="{F23C4ADF-4F70-47AC-8EA5-E4C16A6D078F}"/>
  <tableColumns count="3">
    <tableColumn id="1" xr3:uid="{29884CB9-22E2-4B33-8CBD-7332D0938AAA}" name="Risk Level"/>
    <tableColumn id="2" xr3:uid="{246D6571-B210-45F4-B85C-02E78055CFCB}" name="Customer Count"/>
    <tableColumn id="3" xr3:uid="{41D1C914-73F3-44AA-8236-40050FFB234F}" name="Percentages %" dataDxfId="0" dataCellStyle="Percent"/>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7175825-76D6-4E88-9002-75C4DC5F84B8}" name="Table7" displayName="Table7" ref="A2:B6" totalsRowShown="0" headerRowDxfId="3">
  <autoFilter ref="A2:B6" xr:uid="{E7175825-76D6-4E88-9002-75C4DC5F84B8}"/>
  <tableColumns count="2">
    <tableColumn id="1" xr3:uid="{F2116920-0C8B-41DF-BD4B-6ADACEC24A81}" name="Column1" dataDxfId="2"/>
    <tableColumn id="2" xr3:uid="{BE612175-8C96-4BD6-883D-9B2C8F1AEC00}" name="Column2"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3324D-89BB-4EC0-AA4C-256DF123CEC9}">
  <dimension ref="A1:A1001"/>
  <sheetViews>
    <sheetView workbookViewId="0">
      <selection sqref="A1:XFD1048576"/>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414</v>
      </c>
    </row>
    <row r="416" spans="1:1" x14ac:dyDescent="0.3">
      <c r="A416" t="s">
        <v>415</v>
      </c>
    </row>
    <row r="417" spans="1:1" x14ac:dyDescent="0.3">
      <c r="A417" t="s">
        <v>416</v>
      </c>
    </row>
    <row r="418" spans="1:1" x14ac:dyDescent="0.3">
      <c r="A418" t="s">
        <v>417</v>
      </c>
    </row>
    <row r="419" spans="1:1" x14ac:dyDescent="0.3">
      <c r="A419" t="s">
        <v>418</v>
      </c>
    </row>
    <row r="420" spans="1:1" x14ac:dyDescent="0.3">
      <c r="A420" t="s">
        <v>419</v>
      </c>
    </row>
    <row r="421" spans="1:1" x14ac:dyDescent="0.3">
      <c r="A421" t="s">
        <v>420</v>
      </c>
    </row>
    <row r="422" spans="1:1" x14ac:dyDescent="0.3">
      <c r="A422" t="s">
        <v>421</v>
      </c>
    </row>
    <row r="423" spans="1:1" x14ac:dyDescent="0.3">
      <c r="A423" t="s">
        <v>422</v>
      </c>
    </row>
    <row r="424" spans="1:1" x14ac:dyDescent="0.3">
      <c r="A424" t="s">
        <v>423</v>
      </c>
    </row>
    <row r="425" spans="1:1" x14ac:dyDescent="0.3">
      <c r="A425" t="s">
        <v>424</v>
      </c>
    </row>
    <row r="426" spans="1:1" x14ac:dyDescent="0.3">
      <c r="A426" t="s">
        <v>425</v>
      </c>
    </row>
    <row r="427" spans="1:1" x14ac:dyDescent="0.3">
      <c r="A427" t="s">
        <v>426</v>
      </c>
    </row>
    <row r="428" spans="1:1" x14ac:dyDescent="0.3">
      <c r="A428" t="s">
        <v>427</v>
      </c>
    </row>
    <row r="429" spans="1:1" x14ac:dyDescent="0.3">
      <c r="A429" t="s">
        <v>428</v>
      </c>
    </row>
    <row r="430" spans="1:1" x14ac:dyDescent="0.3">
      <c r="A430" t="s">
        <v>429</v>
      </c>
    </row>
    <row r="431" spans="1:1" x14ac:dyDescent="0.3">
      <c r="A431" t="s">
        <v>430</v>
      </c>
    </row>
    <row r="432" spans="1:1" x14ac:dyDescent="0.3">
      <c r="A432" t="s">
        <v>431</v>
      </c>
    </row>
    <row r="433" spans="1:1" x14ac:dyDescent="0.3">
      <c r="A433" t="s">
        <v>432</v>
      </c>
    </row>
    <row r="434" spans="1:1" x14ac:dyDescent="0.3">
      <c r="A434" t="s">
        <v>433</v>
      </c>
    </row>
    <row r="435" spans="1:1" x14ac:dyDescent="0.3">
      <c r="A435" t="s">
        <v>434</v>
      </c>
    </row>
    <row r="436" spans="1:1" x14ac:dyDescent="0.3">
      <c r="A436" t="s">
        <v>435</v>
      </c>
    </row>
    <row r="437" spans="1:1" x14ac:dyDescent="0.3">
      <c r="A437" t="s">
        <v>436</v>
      </c>
    </row>
    <row r="438" spans="1:1" x14ac:dyDescent="0.3">
      <c r="A438" t="s">
        <v>437</v>
      </c>
    </row>
    <row r="439" spans="1:1" x14ac:dyDescent="0.3">
      <c r="A439" t="s">
        <v>438</v>
      </c>
    </row>
    <row r="440" spans="1:1" x14ac:dyDescent="0.3">
      <c r="A440" t="s">
        <v>439</v>
      </c>
    </row>
    <row r="441" spans="1:1" x14ac:dyDescent="0.3">
      <c r="A441" t="s">
        <v>440</v>
      </c>
    </row>
    <row r="442" spans="1:1" x14ac:dyDescent="0.3">
      <c r="A442" t="s">
        <v>441</v>
      </c>
    </row>
    <row r="443" spans="1:1" x14ac:dyDescent="0.3">
      <c r="A443" t="s">
        <v>442</v>
      </c>
    </row>
    <row r="444" spans="1:1" x14ac:dyDescent="0.3">
      <c r="A444" t="s">
        <v>443</v>
      </c>
    </row>
    <row r="445" spans="1:1" x14ac:dyDescent="0.3">
      <c r="A445" t="s">
        <v>444</v>
      </c>
    </row>
    <row r="446" spans="1:1" x14ac:dyDescent="0.3">
      <c r="A446" t="s">
        <v>445</v>
      </c>
    </row>
    <row r="447" spans="1:1" x14ac:dyDescent="0.3">
      <c r="A447" t="s">
        <v>446</v>
      </c>
    </row>
    <row r="448" spans="1:1" x14ac:dyDescent="0.3">
      <c r="A448" t="s">
        <v>447</v>
      </c>
    </row>
    <row r="449" spans="1:1" x14ac:dyDescent="0.3">
      <c r="A449" t="s">
        <v>448</v>
      </c>
    </row>
    <row r="450" spans="1:1" x14ac:dyDescent="0.3">
      <c r="A450" t="s">
        <v>449</v>
      </c>
    </row>
    <row r="451" spans="1:1" x14ac:dyDescent="0.3">
      <c r="A451" t="s">
        <v>450</v>
      </c>
    </row>
    <row r="452" spans="1:1" x14ac:dyDescent="0.3">
      <c r="A452" t="s">
        <v>451</v>
      </c>
    </row>
    <row r="453" spans="1:1" x14ac:dyDescent="0.3">
      <c r="A453" t="s">
        <v>452</v>
      </c>
    </row>
    <row r="454" spans="1:1" x14ac:dyDescent="0.3">
      <c r="A454" t="s">
        <v>453</v>
      </c>
    </row>
    <row r="455" spans="1:1" x14ac:dyDescent="0.3">
      <c r="A455" t="s">
        <v>454</v>
      </c>
    </row>
    <row r="456" spans="1:1" x14ac:dyDescent="0.3">
      <c r="A456" t="s">
        <v>455</v>
      </c>
    </row>
    <row r="457" spans="1:1" x14ac:dyDescent="0.3">
      <c r="A457" t="s">
        <v>456</v>
      </c>
    </row>
    <row r="458" spans="1:1" x14ac:dyDescent="0.3">
      <c r="A458" t="s">
        <v>457</v>
      </c>
    </row>
    <row r="459" spans="1:1" x14ac:dyDescent="0.3">
      <c r="A459" t="s">
        <v>458</v>
      </c>
    </row>
    <row r="460" spans="1:1" x14ac:dyDescent="0.3">
      <c r="A460" t="s">
        <v>459</v>
      </c>
    </row>
    <row r="461" spans="1:1" x14ac:dyDescent="0.3">
      <c r="A461" t="s">
        <v>460</v>
      </c>
    </row>
    <row r="462" spans="1:1" x14ac:dyDescent="0.3">
      <c r="A462" t="s">
        <v>461</v>
      </c>
    </row>
    <row r="463" spans="1:1" x14ac:dyDescent="0.3">
      <c r="A463" t="s">
        <v>462</v>
      </c>
    </row>
    <row r="464" spans="1:1" x14ac:dyDescent="0.3">
      <c r="A464" t="s">
        <v>463</v>
      </c>
    </row>
    <row r="465" spans="1:1" x14ac:dyDescent="0.3">
      <c r="A465" t="s">
        <v>464</v>
      </c>
    </row>
    <row r="466" spans="1:1" x14ac:dyDescent="0.3">
      <c r="A466" t="s">
        <v>465</v>
      </c>
    </row>
    <row r="467" spans="1:1" x14ac:dyDescent="0.3">
      <c r="A467" t="s">
        <v>466</v>
      </c>
    </row>
    <row r="468" spans="1:1" x14ac:dyDescent="0.3">
      <c r="A468" t="s">
        <v>467</v>
      </c>
    </row>
    <row r="469" spans="1:1" x14ac:dyDescent="0.3">
      <c r="A469" t="s">
        <v>468</v>
      </c>
    </row>
    <row r="470" spans="1:1" x14ac:dyDescent="0.3">
      <c r="A470" t="s">
        <v>469</v>
      </c>
    </row>
    <row r="471" spans="1:1" x14ac:dyDescent="0.3">
      <c r="A471" t="s">
        <v>470</v>
      </c>
    </row>
    <row r="472" spans="1:1" x14ac:dyDescent="0.3">
      <c r="A472" t="s">
        <v>471</v>
      </c>
    </row>
    <row r="473" spans="1:1" x14ac:dyDescent="0.3">
      <c r="A473" t="s">
        <v>472</v>
      </c>
    </row>
    <row r="474" spans="1:1" x14ac:dyDescent="0.3">
      <c r="A474" t="s">
        <v>473</v>
      </c>
    </row>
    <row r="475" spans="1:1" x14ac:dyDescent="0.3">
      <c r="A475" t="s">
        <v>474</v>
      </c>
    </row>
    <row r="476" spans="1:1" x14ac:dyDescent="0.3">
      <c r="A476" t="s">
        <v>475</v>
      </c>
    </row>
    <row r="477" spans="1:1" x14ac:dyDescent="0.3">
      <c r="A477" t="s">
        <v>476</v>
      </c>
    </row>
    <row r="478" spans="1:1" x14ac:dyDescent="0.3">
      <c r="A478" t="s">
        <v>477</v>
      </c>
    </row>
    <row r="479" spans="1:1" x14ac:dyDescent="0.3">
      <c r="A479" t="s">
        <v>478</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row r="579" spans="1:1" x14ac:dyDescent="0.3">
      <c r="A579" t="s">
        <v>578</v>
      </c>
    </row>
    <row r="580" spans="1:1" x14ac:dyDescent="0.3">
      <c r="A580" t="s">
        <v>579</v>
      </c>
    </row>
    <row r="581" spans="1:1" x14ac:dyDescent="0.3">
      <c r="A581" t="s">
        <v>580</v>
      </c>
    </row>
    <row r="582" spans="1:1" x14ac:dyDescent="0.3">
      <c r="A582" t="s">
        <v>581</v>
      </c>
    </row>
    <row r="583" spans="1:1" x14ac:dyDescent="0.3">
      <c r="A583" t="s">
        <v>582</v>
      </c>
    </row>
    <row r="584" spans="1:1" x14ac:dyDescent="0.3">
      <c r="A584" t="s">
        <v>583</v>
      </c>
    </row>
    <row r="585" spans="1:1" x14ac:dyDescent="0.3">
      <c r="A585" t="s">
        <v>584</v>
      </c>
    </row>
    <row r="586" spans="1:1" x14ac:dyDescent="0.3">
      <c r="A586" t="s">
        <v>585</v>
      </c>
    </row>
    <row r="587" spans="1:1" x14ac:dyDescent="0.3">
      <c r="A587" t="s">
        <v>586</v>
      </c>
    </row>
    <row r="588" spans="1:1" x14ac:dyDescent="0.3">
      <c r="A588" t="s">
        <v>587</v>
      </c>
    </row>
    <row r="589" spans="1:1" x14ac:dyDescent="0.3">
      <c r="A589" t="s">
        <v>588</v>
      </c>
    </row>
    <row r="590" spans="1:1" x14ac:dyDescent="0.3">
      <c r="A590" t="s">
        <v>589</v>
      </c>
    </row>
    <row r="591" spans="1:1" x14ac:dyDescent="0.3">
      <c r="A591" t="s">
        <v>590</v>
      </c>
    </row>
    <row r="592" spans="1:1" x14ac:dyDescent="0.3">
      <c r="A592" t="s">
        <v>591</v>
      </c>
    </row>
    <row r="593" spans="1:1" x14ac:dyDescent="0.3">
      <c r="A593" t="s">
        <v>592</v>
      </c>
    </row>
    <row r="594" spans="1:1" x14ac:dyDescent="0.3">
      <c r="A594" t="s">
        <v>593</v>
      </c>
    </row>
    <row r="595" spans="1:1" x14ac:dyDescent="0.3">
      <c r="A595" t="s">
        <v>594</v>
      </c>
    </row>
    <row r="596" spans="1:1" x14ac:dyDescent="0.3">
      <c r="A596" t="s">
        <v>595</v>
      </c>
    </row>
    <row r="597" spans="1:1" x14ac:dyDescent="0.3">
      <c r="A597" t="s">
        <v>596</v>
      </c>
    </row>
    <row r="598" spans="1:1" x14ac:dyDescent="0.3">
      <c r="A598" t="s">
        <v>597</v>
      </c>
    </row>
    <row r="599" spans="1:1" x14ac:dyDescent="0.3">
      <c r="A599" t="s">
        <v>598</v>
      </c>
    </row>
    <row r="600" spans="1:1" x14ac:dyDescent="0.3">
      <c r="A600" t="s">
        <v>599</v>
      </c>
    </row>
    <row r="601" spans="1:1" x14ac:dyDescent="0.3">
      <c r="A601" t="s">
        <v>600</v>
      </c>
    </row>
    <row r="602" spans="1:1" x14ac:dyDescent="0.3">
      <c r="A602" t="s">
        <v>601</v>
      </c>
    </row>
    <row r="603" spans="1:1" x14ac:dyDescent="0.3">
      <c r="A603" t="s">
        <v>602</v>
      </c>
    </row>
    <row r="604" spans="1:1" x14ac:dyDescent="0.3">
      <c r="A604" t="s">
        <v>603</v>
      </c>
    </row>
    <row r="605" spans="1:1" x14ac:dyDescent="0.3">
      <c r="A605" t="s">
        <v>604</v>
      </c>
    </row>
    <row r="606" spans="1:1" x14ac:dyDescent="0.3">
      <c r="A606" t="s">
        <v>605</v>
      </c>
    </row>
    <row r="607" spans="1:1" x14ac:dyDescent="0.3">
      <c r="A607" t="s">
        <v>606</v>
      </c>
    </row>
    <row r="608" spans="1:1" x14ac:dyDescent="0.3">
      <c r="A608" t="s">
        <v>607</v>
      </c>
    </row>
    <row r="609" spans="1:1" x14ac:dyDescent="0.3">
      <c r="A609" t="s">
        <v>608</v>
      </c>
    </row>
    <row r="610" spans="1:1" x14ac:dyDescent="0.3">
      <c r="A610" t="s">
        <v>609</v>
      </c>
    </row>
    <row r="611" spans="1:1" x14ac:dyDescent="0.3">
      <c r="A611" t="s">
        <v>610</v>
      </c>
    </row>
    <row r="612" spans="1:1" x14ac:dyDescent="0.3">
      <c r="A612" t="s">
        <v>611</v>
      </c>
    </row>
    <row r="613" spans="1:1" x14ac:dyDescent="0.3">
      <c r="A613" t="s">
        <v>612</v>
      </c>
    </row>
    <row r="614" spans="1:1" x14ac:dyDescent="0.3">
      <c r="A614" t="s">
        <v>613</v>
      </c>
    </row>
    <row r="615" spans="1:1" x14ac:dyDescent="0.3">
      <c r="A615" t="s">
        <v>614</v>
      </c>
    </row>
    <row r="616" spans="1:1" x14ac:dyDescent="0.3">
      <c r="A616" t="s">
        <v>615</v>
      </c>
    </row>
    <row r="617" spans="1:1" x14ac:dyDescent="0.3">
      <c r="A617" t="s">
        <v>616</v>
      </c>
    </row>
    <row r="618" spans="1:1" x14ac:dyDescent="0.3">
      <c r="A618" t="s">
        <v>617</v>
      </c>
    </row>
    <row r="619" spans="1:1" x14ac:dyDescent="0.3">
      <c r="A619" t="s">
        <v>618</v>
      </c>
    </row>
    <row r="620" spans="1:1" x14ac:dyDescent="0.3">
      <c r="A620" t="s">
        <v>619</v>
      </c>
    </row>
    <row r="621" spans="1:1" x14ac:dyDescent="0.3">
      <c r="A621" t="s">
        <v>620</v>
      </c>
    </row>
    <row r="622" spans="1:1" x14ac:dyDescent="0.3">
      <c r="A622" t="s">
        <v>621</v>
      </c>
    </row>
    <row r="623" spans="1:1" x14ac:dyDescent="0.3">
      <c r="A623" t="s">
        <v>622</v>
      </c>
    </row>
    <row r="624" spans="1:1" x14ac:dyDescent="0.3">
      <c r="A624" t="s">
        <v>623</v>
      </c>
    </row>
    <row r="625" spans="1:1" x14ac:dyDescent="0.3">
      <c r="A625" t="s">
        <v>624</v>
      </c>
    </row>
    <row r="626" spans="1:1" x14ac:dyDescent="0.3">
      <c r="A626" t="s">
        <v>625</v>
      </c>
    </row>
    <row r="627" spans="1:1" x14ac:dyDescent="0.3">
      <c r="A627" t="s">
        <v>626</v>
      </c>
    </row>
    <row r="628" spans="1:1" x14ac:dyDescent="0.3">
      <c r="A628" t="s">
        <v>627</v>
      </c>
    </row>
    <row r="629" spans="1:1" x14ac:dyDescent="0.3">
      <c r="A629" t="s">
        <v>628</v>
      </c>
    </row>
    <row r="630" spans="1:1" x14ac:dyDescent="0.3">
      <c r="A630" t="s">
        <v>629</v>
      </c>
    </row>
    <row r="631" spans="1:1" x14ac:dyDescent="0.3">
      <c r="A631" t="s">
        <v>630</v>
      </c>
    </row>
    <row r="632" spans="1:1" x14ac:dyDescent="0.3">
      <c r="A632" t="s">
        <v>631</v>
      </c>
    </row>
    <row r="633" spans="1:1" x14ac:dyDescent="0.3">
      <c r="A633" t="s">
        <v>632</v>
      </c>
    </row>
    <row r="634" spans="1:1" x14ac:dyDescent="0.3">
      <c r="A634" t="s">
        <v>633</v>
      </c>
    </row>
    <row r="635" spans="1:1" x14ac:dyDescent="0.3">
      <c r="A635" t="s">
        <v>634</v>
      </c>
    </row>
    <row r="636" spans="1:1" x14ac:dyDescent="0.3">
      <c r="A636" t="s">
        <v>635</v>
      </c>
    </row>
    <row r="637" spans="1:1" x14ac:dyDescent="0.3">
      <c r="A637" t="s">
        <v>636</v>
      </c>
    </row>
    <row r="638" spans="1:1" x14ac:dyDescent="0.3">
      <c r="A638" t="s">
        <v>637</v>
      </c>
    </row>
    <row r="639" spans="1:1" x14ac:dyDescent="0.3">
      <c r="A639" t="s">
        <v>638</v>
      </c>
    </row>
    <row r="640" spans="1:1" x14ac:dyDescent="0.3">
      <c r="A640" t="s">
        <v>639</v>
      </c>
    </row>
    <row r="641" spans="1:1" x14ac:dyDescent="0.3">
      <c r="A641" t="s">
        <v>640</v>
      </c>
    </row>
    <row r="642" spans="1:1" x14ac:dyDescent="0.3">
      <c r="A642" t="s">
        <v>641</v>
      </c>
    </row>
    <row r="643" spans="1:1" x14ac:dyDescent="0.3">
      <c r="A643" t="s">
        <v>642</v>
      </c>
    </row>
    <row r="644" spans="1:1" x14ac:dyDescent="0.3">
      <c r="A644" t="s">
        <v>643</v>
      </c>
    </row>
    <row r="645" spans="1:1" x14ac:dyDescent="0.3">
      <c r="A645" t="s">
        <v>644</v>
      </c>
    </row>
    <row r="646" spans="1:1" x14ac:dyDescent="0.3">
      <c r="A646" t="s">
        <v>645</v>
      </c>
    </row>
    <row r="647" spans="1:1" x14ac:dyDescent="0.3">
      <c r="A647" t="s">
        <v>646</v>
      </c>
    </row>
    <row r="648" spans="1:1" x14ac:dyDescent="0.3">
      <c r="A648" t="s">
        <v>647</v>
      </c>
    </row>
    <row r="649" spans="1:1" x14ac:dyDescent="0.3">
      <c r="A649" t="s">
        <v>648</v>
      </c>
    </row>
    <row r="650" spans="1:1" x14ac:dyDescent="0.3">
      <c r="A650" t="s">
        <v>649</v>
      </c>
    </row>
    <row r="651" spans="1:1" x14ac:dyDescent="0.3">
      <c r="A651" t="s">
        <v>650</v>
      </c>
    </row>
    <row r="652" spans="1:1" x14ac:dyDescent="0.3">
      <c r="A652" t="s">
        <v>651</v>
      </c>
    </row>
    <row r="653" spans="1:1" x14ac:dyDescent="0.3">
      <c r="A653" t="s">
        <v>652</v>
      </c>
    </row>
    <row r="654" spans="1:1" x14ac:dyDescent="0.3">
      <c r="A654" t="s">
        <v>653</v>
      </c>
    </row>
    <row r="655" spans="1:1" x14ac:dyDescent="0.3">
      <c r="A655" t="s">
        <v>654</v>
      </c>
    </row>
    <row r="656" spans="1:1" x14ac:dyDescent="0.3">
      <c r="A656" t="s">
        <v>655</v>
      </c>
    </row>
    <row r="657" spans="1:1" x14ac:dyDescent="0.3">
      <c r="A657" t="s">
        <v>656</v>
      </c>
    </row>
    <row r="658" spans="1:1" x14ac:dyDescent="0.3">
      <c r="A658" t="s">
        <v>657</v>
      </c>
    </row>
    <row r="659" spans="1:1" x14ac:dyDescent="0.3">
      <c r="A659" t="s">
        <v>658</v>
      </c>
    </row>
    <row r="660" spans="1:1" x14ac:dyDescent="0.3">
      <c r="A660" t="s">
        <v>659</v>
      </c>
    </row>
    <row r="661" spans="1:1" x14ac:dyDescent="0.3">
      <c r="A661" t="s">
        <v>660</v>
      </c>
    </row>
    <row r="662" spans="1:1" x14ac:dyDescent="0.3">
      <c r="A662" t="s">
        <v>661</v>
      </c>
    </row>
    <row r="663" spans="1:1" x14ac:dyDescent="0.3">
      <c r="A663" t="s">
        <v>662</v>
      </c>
    </row>
    <row r="664" spans="1:1" x14ac:dyDescent="0.3">
      <c r="A664" t="s">
        <v>663</v>
      </c>
    </row>
    <row r="665" spans="1:1" x14ac:dyDescent="0.3">
      <c r="A665" t="s">
        <v>664</v>
      </c>
    </row>
    <row r="666" spans="1:1" x14ac:dyDescent="0.3">
      <c r="A666" t="s">
        <v>665</v>
      </c>
    </row>
    <row r="667" spans="1:1" x14ac:dyDescent="0.3">
      <c r="A667" t="s">
        <v>666</v>
      </c>
    </row>
    <row r="668" spans="1:1" x14ac:dyDescent="0.3">
      <c r="A668" t="s">
        <v>667</v>
      </c>
    </row>
    <row r="669" spans="1:1" x14ac:dyDescent="0.3">
      <c r="A669" t="s">
        <v>668</v>
      </c>
    </row>
    <row r="670" spans="1:1" x14ac:dyDescent="0.3">
      <c r="A670" t="s">
        <v>669</v>
      </c>
    </row>
    <row r="671" spans="1:1" x14ac:dyDescent="0.3">
      <c r="A671" t="s">
        <v>670</v>
      </c>
    </row>
    <row r="672" spans="1:1" x14ac:dyDescent="0.3">
      <c r="A672" t="s">
        <v>671</v>
      </c>
    </row>
    <row r="673" spans="1:1" x14ac:dyDescent="0.3">
      <c r="A673" t="s">
        <v>672</v>
      </c>
    </row>
    <row r="674" spans="1:1" x14ac:dyDescent="0.3">
      <c r="A674" t="s">
        <v>673</v>
      </c>
    </row>
    <row r="675" spans="1:1" x14ac:dyDescent="0.3">
      <c r="A675" t="s">
        <v>674</v>
      </c>
    </row>
    <row r="676" spans="1:1" x14ac:dyDescent="0.3">
      <c r="A676" t="s">
        <v>675</v>
      </c>
    </row>
    <row r="677" spans="1:1" x14ac:dyDescent="0.3">
      <c r="A677" t="s">
        <v>676</v>
      </c>
    </row>
    <row r="678" spans="1:1" x14ac:dyDescent="0.3">
      <c r="A678" t="s">
        <v>677</v>
      </c>
    </row>
    <row r="679" spans="1:1" x14ac:dyDescent="0.3">
      <c r="A679" t="s">
        <v>678</v>
      </c>
    </row>
    <row r="680" spans="1:1" x14ac:dyDescent="0.3">
      <c r="A680" t="s">
        <v>679</v>
      </c>
    </row>
    <row r="681" spans="1:1" x14ac:dyDescent="0.3">
      <c r="A681" t="s">
        <v>680</v>
      </c>
    </row>
    <row r="682" spans="1:1" x14ac:dyDescent="0.3">
      <c r="A682" t="s">
        <v>681</v>
      </c>
    </row>
    <row r="683" spans="1:1" x14ac:dyDescent="0.3">
      <c r="A683" t="s">
        <v>682</v>
      </c>
    </row>
    <row r="684" spans="1:1" x14ac:dyDescent="0.3">
      <c r="A684" t="s">
        <v>683</v>
      </c>
    </row>
    <row r="685" spans="1:1" x14ac:dyDescent="0.3">
      <c r="A685" t="s">
        <v>684</v>
      </c>
    </row>
    <row r="686" spans="1:1" x14ac:dyDescent="0.3">
      <c r="A686" t="s">
        <v>685</v>
      </c>
    </row>
    <row r="687" spans="1:1" x14ac:dyDescent="0.3">
      <c r="A687" t="s">
        <v>686</v>
      </c>
    </row>
    <row r="688" spans="1:1" x14ac:dyDescent="0.3">
      <c r="A688" t="s">
        <v>687</v>
      </c>
    </row>
    <row r="689" spans="1:1" x14ac:dyDescent="0.3">
      <c r="A689" t="s">
        <v>688</v>
      </c>
    </row>
    <row r="690" spans="1:1" x14ac:dyDescent="0.3">
      <c r="A690" t="s">
        <v>689</v>
      </c>
    </row>
    <row r="691" spans="1:1" x14ac:dyDescent="0.3">
      <c r="A691" t="s">
        <v>690</v>
      </c>
    </row>
    <row r="692" spans="1:1" x14ac:dyDescent="0.3">
      <c r="A692" t="s">
        <v>691</v>
      </c>
    </row>
    <row r="693" spans="1:1" x14ac:dyDescent="0.3">
      <c r="A693" t="s">
        <v>692</v>
      </c>
    </row>
    <row r="694" spans="1:1" x14ac:dyDescent="0.3">
      <c r="A694" t="s">
        <v>693</v>
      </c>
    </row>
    <row r="695" spans="1:1" x14ac:dyDescent="0.3">
      <c r="A695" t="s">
        <v>694</v>
      </c>
    </row>
    <row r="696" spans="1:1" x14ac:dyDescent="0.3">
      <c r="A696" t="s">
        <v>695</v>
      </c>
    </row>
    <row r="697" spans="1:1" x14ac:dyDescent="0.3">
      <c r="A697" t="s">
        <v>696</v>
      </c>
    </row>
    <row r="698" spans="1:1" x14ac:dyDescent="0.3">
      <c r="A698" t="s">
        <v>697</v>
      </c>
    </row>
    <row r="699" spans="1:1" x14ac:dyDescent="0.3">
      <c r="A699" t="s">
        <v>698</v>
      </c>
    </row>
    <row r="700" spans="1:1" x14ac:dyDescent="0.3">
      <c r="A700" t="s">
        <v>699</v>
      </c>
    </row>
    <row r="701" spans="1:1" x14ac:dyDescent="0.3">
      <c r="A701" t="s">
        <v>700</v>
      </c>
    </row>
    <row r="702" spans="1:1" x14ac:dyDescent="0.3">
      <c r="A702" t="s">
        <v>701</v>
      </c>
    </row>
    <row r="703" spans="1:1" x14ac:dyDescent="0.3">
      <c r="A703" t="s">
        <v>702</v>
      </c>
    </row>
    <row r="704" spans="1:1" x14ac:dyDescent="0.3">
      <c r="A704" t="s">
        <v>703</v>
      </c>
    </row>
    <row r="705" spans="1:1" x14ac:dyDescent="0.3">
      <c r="A705" t="s">
        <v>704</v>
      </c>
    </row>
    <row r="706" spans="1:1" x14ac:dyDescent="0.3">
      <c r="A706" t="s">
        <v>705</v>
      </c>
    </row>
    <row r="707" spans="1:1" x14ac:dyDescent="0.3">
      <c r="A707" t="s">
        <v>706</v>
      </c>
    </row>
    <row r="708" spans="1:1" x14ac:dyDescent="0.3">
      <c r="A708" t="s">
        <v>707</v>
      </c>
    </row>
    <row r="709" spans="1:1" x14ac:dyDescent="0.3">
      <c r="A709" t="s">
        <v>708</v>
      </c>
    </row>
    <row r="710" spans="1:1" x14ac:dyDescent="0.3">
      <c r="A710" t="s">
        <v>709</v>
      </c>
    </row>
    <row r="711" spans="1:1" x14ac:dyDescent="0.3">
      <c r="A711" t="s">
        <v>710</v>
      </c>
    </row>
    <row r="712" spans="1:1" x14ac:dyDescent="0.3">
      <c r="A712" t="s">
        <v>711</v>
      </c>
    </row>
    <row r="713" spans="1:1" x14ac:dyDescent="0.3">
      <c r="A713" t="s">
        <v>712</v>
      </c>
    </row>
    <row r="714" spans="1:1" x14ac:dyDescent="0.3">
      <c r="A714" t="s">
        <v>713</v>
      </c>
    </row>
    <row r="715" spans="1:1" x14ac:dyDescent="0.3">
      <c r="A715" t="s">
        <v>714</v>
      </c>
    </row>
    <row r="716" spans="1:1" x14ac:dyDescent="0.3">
      <c r="A716" t="s">
        <v>715</v>
      </c>
    </row>
    <row r="717" spans="1:1" x14ac:dyDescent="0.3">
      <c r="A717" t="s">
        <v>716</v>
      </c>
    </row>
    <row r="718" spans="1:1" x14ac:dyDescent="0.3">
      <c r="A718" t="s">
        <v>717</v>
      </c>
    </row>
    <row r="719" spans="1:1" x14ac:dyDescent="0.3">
      <c r="A719" t="s">
        <v>718</v>
      </c>
    </row>
    <row r="720" spans="1:1" x14ac:dyDescent="0.3">
      <c r="A720" t="s">
        <v>719</v>
      </c>
    </row>
    <row r="721" spans="1:1" x14ac:dyDescent="0.3">
      <c r="A721" t="s">
        <v>720</v>
      </c>
    </row>
    <row r="722" spans="1:1" x14ac:dyDescent="0.3">
      <c r="A722" t="s">
        <v>721</v>
      </c>
    </row>
    <row r="723" spans="1:1" x14ac:dyDescent="0.3">
      <c r="A723" t="s">
        <v>722</v>
      </c>
    </row>
    <row r="724" spans="1:1" x14ac:dyDescent="0.3">
      <c r="A724" t="s">
        <v>723</v>
      </c>
    </row>
    <row r="725" spans="1:1" x14ac:dyDescent="0.3">
      <c r="A725" t="s">
        <v>724</v>
      </c>
    </row>
    <row r="726" spans="1:1" x14ac:dyDescent="0.3">
      <c r="A726" t="s">
        <v>725</v>
      </c>
    </row>
    <row r="727" spans="1:1" x14ac:dyDescent="0.3">
      <c r="A727" t="s">
        <v>726</v>
      </c>
    </row>
    <row r="728" spans="1:1" x14ac:dyDescent="0.3">
      <c r="A728" t="s">
        <v>727</v>
      </c>
    </row>
    <row r="729" spans="1:1" x14ac:dyDescent="0.3">
      <c r="A729" t="s">
        <v>728</v>
      </c>
    </row>
    <row r="730" spans="1:1" x14ac:dyDescent="0.3">
      <c r="A730" t="s">
        <v>729</v>
      </c>
    </row>
    <row r="731" spans="1:1" x14ac:dyDescent="0.3">
      <c r="A731" t="s">
        <v>730</v>
      </c>
    </row>
    <row r="732" spans="1:1" x14ac:dyDescent="0.3">
      <c r="A732" t="s">
        <v>731</v>
      </c>
    </row>
    <row r="733" spans="1:1" x14ac:dyDescent="0.3">
      <c r="A733" t="s">
        <v>732</v>
      </c>
    </row>
    <row r="734" spans="1:1" x14ac:dyDescent="0.3">
      <c r="A734" t="s">
        <v>733</v>
      </c>
    </row>
    <row r="735" spans="1:1" x14ac:dyDescent="0.3">
      <c r="A735" t="s">
        <v>734</v>
      </c>
    </row>
    <row r="736" spans="1:1" x14ac:dyDescent="0.3">
      <c r="A736" t="s">
        <v>735</v>
      </c>
    </row>
    <row r="737" spans="1:1" x14ac:dyDescent="0.3">
      <c r="A737" t="s">
        <v>736</v>
      </c>
    </row>
    <row r="738" spans="1:1" x14ac:dyDescent="0.3">
      <c r="A738" t="s">
        <v>737</v>
      </c>
    </row>
    <row r="739" spans="1:1" x14ac:dyDescent="0.3">
      <c r="A739" t="s">
        <v>738</v>
      </c>
    </row>
    <row r="740" spans="1:1" x14ac:dyDescent="0.3">
      <c r="A740" t="s">
        <v>739</v>
      </c>
    </row>
    <row r="741" spans="1:1" x14ac:dyDescent="0.3">
      <c r="A741" t="s">
        <v>740</v>
      </c>
    </row>
    <row r="742" spans="1:1" x14ac:dyDescent="0.3">
      <c r="A742" t="s">
        <v>741</v>
      </c>
    </row>
    <row r="743" spans="1:1" x14ac:dyDescent="0.3">
      <c r="A743" t="s">
        <v>742</v>
      </c>
    </row>
    <row r="744" spans="1:1" x14ac:dyDescent="0.3">
      <c r="A744" t="s">
        <v>743</v>
      </c>
    </row>
    <row r="745" spans="1:1" x14ac:dyDescent="0.3">
      <c r="A745" t="s">
        <v>744</v>
      </c>
    </row>
    <row r="746" spans="1:1" x14ac:dyDescent="0.3">
      <c r="A746" t="s">
        <v>745</v>
      </c>
    </row>
    <row r="747" spans="1:1" x14ac:dyDescent="0.3">
      <c r="A747" t="s">
        <v>746</v>
      </c>
    </row>
    <row r="748" spans="1:1" x14ac:dyDescent="0.3">
      <c r="A748" t="s">
        <v>747</v>
      </c>
    </row>
    <row r="749" spans="1:1" x14ac:dyDescent="0.3">
      <c r="A749" t="s">
        <v>748</v>
      </c>
    </row>
    <row r="750" spans="1:1" x14ac:dyDescent="0.3">
      <c r="A750" t="s">
        <v>749</v>
      </c>
    </row>
    <row r="751" spans="1:1" x14ac:dyDescent="0.3">
      <c r="A751" t="s">
        <v>750</v>
      </c>
    </row>
    <row r="752" spans="1:1" x14ac:dyDescent="0.3">
      <c r="A752" t="s">
        <v>751</v>
      </c>
    </row>
    <row r="753" spans="1:1" x14ac:dyDescent="0.3">
      <c r="A753" t="s">
        <v>752</v>
      </c>
    </row>
    <row r="754" spans="1:1" x14ac:dyDescent="0.3">
      <c r="A754" t="s">
        <v>753</v>
      </c>
    </row>
    <row r="755" spans="1:1" x14ac:dyDescent="0.3">
      <c r="A755" t="s">
        <v>754</v>
      </c>
    </row>
    <row r="756" spans="1:1" x14ac:dyDescent="0.3">
      <c r="A756" t="s">
        <v>755</v>
      </c>
    </row>
    <row r="757" spans="1:1" x14ac:dyDescent="0.3">
      <c r="A757" t="s">
        <v>756</v>
      </c>
    </row>
    <row r="758" spans="1:1" x14ac:dyDescent="0.3">
      <c r="A758" t="s">
        <v>757</v>
      </c>
    </row>
    <row r="759" spans="1:1" x14ac:dyDescent="0.3">
      <c r="A759" t="s">
        <v>758</v>
      </c>
    </row>
    <row r="760" spans="1:1" x14ac:dyDescent="0.3">
      <c r="A760" t="s">
        <v>759</v>
      </c>
    </row>
    <row r="761" spans="1:1" x14ac:dyDescent="0.3">
      <c r="A761" t="s">
        <v>760</v>
      </c>
    </row>
    <row r="762" spans="1:1" x14ac:dyDescent="0.3">
      <c r="A762" t="s">
        <v>761</v>
      </c>
    </row>
    <row r="763" spans="1:1" x14ac:dyDescent="0.3">
      <c r="A763" t="s">
        <v>762</v>
      </c>
    </row>
    <row r="764" spans="1:1" x14ac:dyDescent="0.3">
      <c r="A764" t="s">
        <v>763</v>
      </c>
    </row>
    <row r="765" spans="1:1" x14ac:dyDescent="0.3">
      <c r="A765" t="s">
        <v>764</v>
      </c>
    </row>
    <row r="766" spans="1:1" x14ac:dyDescent="0.3">
      <c r="A766" t="s">
        <v>765</v>
      </c>
    </row>
    <row r="767" spans="1:1" x14ac:dyDescent="0.3">
      <c r="A767" t="s">
        <v>766</v>
      </c>
    </row>
    <row r="768" spans="1:1" x14ac:dyDescent="0.3">
      <c r="A768" t="s">
        <v>767</v>
      </c>
    </row>
    <row r="769" spans="1:1" x14ac:dyDescent="0.3">
      <c r="A769" t="s">
        <v>768</v>
      </c>
    </row>
    <row r="770" spans="1:1" x14ac:dyDescent="0.3">
      <c r="A770" t="s">
        <v>769</v>
      </c>
    </row>
    <row r="771" spans="1:1" x14ac:dyDescent="0.3">
      <c r="A771" t="s">
        <v>770</v>
      </c>
    </row>
    <row r="772" spans="1:1" x14ac:dyDescent="0.3">
      <c r="A772" t="s">
        <v>771</v>
      </c>
    </row>
    <row r="773" spans="1:1" x14ac:dyDescent="0.3">
      <c r="A773" t="s">
        <v>772</v>
      </c>
    </row>
    <row r="774" spans="1:1" x14ac:dyDescent="0.3">
      <c r="A774" t="s">
        <v>773</v>
      </c>
    </row>
    <row r="775" spans="1:1" x14ac:dyDescent="0.3">
      <c r="A775" t="s">
        <v>774</v>
      </c>
    </row>
    <row r="776" spans="1:1" x14ac:dyDescent="0.3">
      <c r="A776" t="s">
        <v>775</v>
      </c>
    </row>
    <row r="777" spans="1:1" x14ac:dyDescent="0.3">
      <c r="A777" t="s">
        <v>776</v>
      </c>
    </row>
    <row r="778" spans="1:1" x14ac:dyDescent="0.3">
      <c r="A778" t="s">
        <v>777</v>
      </c>
    </row>
    <row r="779" spans="1:1" x14ac:dyDescent="0.3">
      <c r="A779" t="s">
        <v>778</v>
      </c>
    </row>
    <row r="780" spans="1:1" x14ac:dyDescent="0.3">
      <c r="A780" t="s">
        <v>779</v>
      </c>
    </row>
    <row r="781" spans="1:1" x14ac:dyDescent="0.3">
      <c r="A781" t="s">
        <v>780</v>
      </c>
    </row>
    <row r="782" spans="1:1" x14ac:dyDescent="0.3">
      <c r="A782" t="s">
        <v>781</v>
      </c>
    </row>
    <row r="783" spans="1:1" x14ac:dyDescent="0.3">
      <c r="A783" t="s">
        <v>782</v>
      </c>
    </row>
    <row r="784" spans="1:1" x14ac:dyDescent="0.3">
      <c r="A784" t="s">
        <v>783</v>
      </c>
    </row>
    <row r="785" spans="1:1" x14ac:dyDescent="0.3">
      <c r="A785" t="s">
        <v>784</v>
      </c>
    </row>
    <row r="786" spans="1:1" x14ac:dyDescent="0.3">
      <c r="A786" t="s">
        <v>785</v>
      </c>
    </row>
    <row r="787" spans="1:1" x14ac:dyDescent="0.3">
      <c r="A787" t="s">
        <v>786</v>
      </c>
    </row>
    <row r="788" spans="1:1" x14ac:dyDescent="0.3">
      <c r="A788" t="s">
        <v>787</v>
      </c>
    </row>
    <row r="789" spans="1:1" x14ac:dyDescent="0.3">
      <c r="A789" t="s">
        <v>788</v>
      </c>
    </row>
    <row r="790" spans="1:1" x14ac:dyDescent="0.3">
      <c r="A790" t="s">
        <v>789</v>
      </c>
    </row>
    <row r="791" spans="1:1" x14ac:dyDescent="0.3">
      <c r="A791" t="s">
        <v>790</v>
      </c>
    </row>
    <row r="792" spans="1:1" x14ac:dyDescent="0.3">
      <c r="A792" t="s">
        <v>791</v>
      </c>
    </row>
    <row r="793" spans="1:1" x14ac:dyDescent="0.3">
      <c r="A793" t="s">
        <v>792</v>
      </c>
    </row>
    <row r="794" spans="1:1" x14ac:dyDescent="0.3">
      <c r="A794" t="s">
        <v>793</v>
      </c>
    </row>
    <row r="795" spans="1:1" x14ac:dyDescent="0.3">
      <c r="A795" t="s">
        <v>794</v>
      </c>
    </row>
    <row r="796" spans="1:1" x14ac:dyDescent="0.3">
      <c r="A796" t="s">
        <v>795</v>
      </c>
    </row>
    <row r="797" spans="1:1" x14ac:dyDescent="0.3">
      <c r="A797" t="s">
        <v>796</v>
      </c>
    </row>
    <row r="798" spans="1:1" x14ac:dyDescent="0.3">
      <c r="A798" t="s">
        <v>797</v>
      </c>
    </row>
    <row r="799" spans="1:1" x14ac:dyDescent="0.3">
      <c r="A799" t="s">
        <v>798</v>
      </c>
    </row>
    <row r="800" spans="1:1" x14ac:dyDescent="0.3">
      <c r="A800" t="s">
        <v>799</v>
      </c>
    </row>
    <row r="801" spans="1:1" x14ac:dyDescent="0.3">
      <c r="A801" t="s">
        <v>800</v>
      </c>
    </row>
    <row r="802" spans="1:1" x14ac:dyDescent="0.3">
      <c r="A802" t="s">
        <v>801</v>
      </c>
    </row>
    <row r="803" spans="1:1" x14ac:dyDescent="0.3">
      <c r="A803" t="s">
        <v>802</v>
      </c>
    </row>
    <row r="804" spans="1:1" x14ac:dyDescent="0.3">
      <c r="A804" t="s">
        <v>803</v>
      </c>
    </row>
    <row r="805" spans="1:1" x14ac:dyDescent="0.3">
      <c r="A805" t="s">
        <v>804</v>
      </c>
    </row>
    <row r="806" spans="1:1" x14ac:dyDescent="0.3">
      <c r="A806" t="s">
        <v>805</v>
      </c>
    </row>
    <row r="807" spans="1:1" x14ac:dyDescent="0.3">
      <c r="A807" t="s">
        <v>806</v>
      </c>
    </row>
    <row r="808" spans="1:1" x14ac:dyDescent="0.3">
      <c r="A808" t="s">
        <v>807</v>
      </c>
    </row>
    <row r="809" spans="1:1" x14ac:dyDescent="0.3">
      <c r="A809" t="s">
        <v>808</v>
      </c>
    </row>
    <row r="810" spans="1:1" x14ac:dyDescent="0.3">
      <c r="A810" t="s">
        <v>809</v>
      </c>
    </row>
    <row r="811" spans="1:1" x14ac:dyDescent="0.3">
      <c r="A811" t="s">
        <v>810</v>
      </c>
    </row>
    <row r="812" spans="1:1" x14ac:dyDescent="0.3">
      <c r="A812" t="s">
        <v>811</v>
      </c>
    </row>
    <row r="813" spans="1:1" x14ac:dyDescent="0.3">
      <c r="A813" t="s">
        <v>812</v>
      </c>
    </row>
    <row r="814" spans="1:1" x14ac:dyDescent="0.3">
      <c r="A814" t="s">
        <v>813</v>
      </c>
    </row>
    <row r="815" spans="1:1" x14ac:dyDescent="0.3">
      <c r="A815" t="s">
        <v>814</v>
      </c>
    </row>
    <row r="816" spans="1:1" x14ac:dyDescent="0.3">
      <c r="A816" t="s">
        <v>815</v>
      </c>
    </row>
    <row r="817" spans="1:1" x14ac:dyDescent="0.3">
      <c r="A817" t="s">
        <v>816</v>
      </c>
    </row>
    <row r="818" spans="1:1" x14ac:dyDescent="0.3">
      <c r="A818" t="s">
        <v>817</v>
      </c>
    </row>
    <row r="819" spans="1:1" x14ac:dyDescent="0.3">
      <c r="A819" t="s">
        <v>818</v>
      </c>
    </row>
    <row r="820" spans="1:1" x14ac:dyDescent="0.3">
      <c r="A820" t="s">
        <v>819</v>
      </c>
    </row>
    <row r="821" spans="1:1" x14ac:dyDescent="0.3">
      <c r="A821" t="s">
        <v>820</v>
      </c>
    </row>
    <row r="822" spans="1:1" x14ac:dyDescent="0.3">
      <c r="A822" t="s">
        <v>821</v>
      </c>
    </row>
    <row r="823" spans="1:1" x14ac:dyDescent="0.3">
      <c r="A823" t="s">
        <v>822</v>
      </c>
    </row>
    <row r="824" spans="1:1" x14ac:dyDescent="0.3">
      <c r="A824" t="s">
        <v>823</v>
      </c>
    </row>
    <row r="825" spans="1:1" x14ac:dyDescent="0.3">
      <c r="A825" t="s">
        <v>824</v>
      </c>
    </row>
    <row r="826" spans="1:1" x14ac:dyDescent="0.3">
      <c r="A826" t="s">
        <v>825</v>
      </c>
    </row>
    <row r="827" spans="1:1" x14ac:dyDescent="0.3">
      <c r="A827" t="s">
        <v>826</v>
      </c>
    </row>
    <row r="828" spans="1:1" x14ac:dyDescent="0.3">
      <c r="A828" t="s">
        <v>827</v>
      </c>
    </row>
    <row r="829" spans="1:1" x14ac:dyDescent="0.3">
      <c r="A829" t="s">
        <v>828</v>
      </c>
    </row>
    <row r="830" spans="1:1" x14ac:dyDescent="0.3">
      <c r="A830" t="s">
        <v>829</v>
      </c>
    </row>
    <row r="831" spans="1:1" x14ac:dyDescent="0.3">
      <c r="A831" t="s">
        <v>830</v>
      </c>
    </row>
    <row r="832" spans="1:1" x14ac:dyDescent="0.3">
      <c r="A832" t="s">
        <v>831</v>
      </c>
    </row>
    <row r="833" spans="1:1" x14ac:dyDescent="0.3">
      <c r="A833" t="s">
        <v>832</v>
      </c>
    </row>
    <row r="834" spans="1:1" x14ac:dyDescent="0.3">
      <c r="A834" t="s">
        <v>833</v>
      </c>
    </row>
    <row r="835" spans="1:1" x14ac:dyDescent="0.3">
      <c r="A835" t="s">
        <v>834</v>
      </c>
    </row>
    <row r="836" spans="1:1" x14ac:dyDescent="0.3">
      <c r="A836" t="s">
        <v>835</v>
      </c>
    </row>
    <row r="837" spans="1:1" x14ac:dyDescent="0.3">
      <c r="A837" t="s">
        <v>836</v>
      </c>
    </row>
    <row r="838" spans="1:1" x14ac:dyDescent="0.3">
      <c r="A838" t="s">
        <v>837</v>
      </c>
    </row>
    <row r="839" spans="1:1" x14ac:dyDescent="0.3">
      <c r="A839" t="s">
        <v>838</v>
      </c>
    </row>
    <row r="840" spans="1:1" x14ac:dyDescent="0.3">
      <c r="A840" t="s">
        <v>839</v>
      </c>
    </row>
    <row r="841" spans="1:1" x14ac:dyDescent="0.3">
      <c r="A841" t="s">
        <v>840</v>
      </c>
    </row>
    <row r="842" spans="1:1" x14ac:dyDescent="0.3">
      <c r="A842" t="s">
        <v>841</v>
      </c>
    </row>
    <row r="843" spans="1:1" x14ac:dyDescent="0.3">
      <c r="A843" t="s">
        <v>842</v>
      </c>
    </row>
    <row r="844" spans="1:1" x14ac:dyDescent="0.3">
      <c r="A844" t="s">
        <v>843</v>
      </c>
    </row>
    <row r="845" spans="1:1" x14ac:dyDescent="0.3">
      <c r="A845" t="s">
        <v>844</v>
      </c>
    </row>
    <row r="846" spans="1:1" x14ac:dyDescent="0.3">
      <c r="A846" t="s">
        <v>845</v>
      </c>
    </row>
    <row r="847" spans="1:1" x14ac:dyDescent="0.3">
      <c r="A847" t="s">
        <v>846</v>
      </c>
    </row>
    <row r="848" spans="1:1" x14ac:dyDescent="0.3">
      <c r="A848" t="s">
        <v>847</v>
      </c>
    </row>
    <row r="849" spans="1:1" x14ac:dyDescent="0.3">
      <c r="A849" t="s">
        <v>848</v>
      </c>
    </row>
    <row r="850" spans="1:1" x14ac:dyDescent="0.3">
      <c r="A850" t="s">
        <v>849</v>
      </c>
    </row>
    <row r="851" spans="1:1" x14ac:dyDescent="0.3">
      <c r="A851" t="s">
        <v>850</v>
      </c>
    </row>
    <row r="852" spans="1:1" x14ac:dyDescent="0.3">
      <c r="A852" t="s">
        <v>851</v>
      </c>
    </row>
    <row r="853" spans="1:1" x14ac:dyDescent="0.3">
      <c r="A853" t="s">
        <v>852</v>
      </c>
    </row>
    <row r="854" spans="1:1" x14ac:dyDescent="0.3">
      <c r="A854" t="s">
        <v>853</v>
      </c>
    </row>
    <row r="855" spans="1:1" x14ac:dyDescent="0.3">
      <c r="A855" t="s">
        <v>854</v>
      </c>
    </row>
    <row r="856" spans="1:1" x14ac:dyDescent="0.3">
      <c r="A856" t="s">
        <v>855</v>
      </c>
    </row>
    <row r="857" spans="1:1" x14ac:dyDescent="0.3">
      <c r="A857" t="s">
        <v>856</v>
      </c>
    </row>
    <row r="858" spans="1:1" x14ac:dyDescent="0.3">
      <c r="A858" t="s">
        <v>857</v>
      </c>
    </row>
    <row r="859" spans="1:1" x14ac:dyDescent="0.3">
      <c r="A859" t="s">
        <v>858</v>
      </c>
    </row>
    <row r="860" spans="1:1" x14ac:dyDescent="0.3">
      <c r="A860" t="s">
        <v>859</v>
      </c>
    </row>
    <row r="861" spans="1:1" x14ac:dyDescent="0.3">
      <c r="A861" t="s">
        <v>860</v>
      </c>
    </row>
    <row r="862" spans="1:1" x14ac:dyDescent="0.3">
      <c r="A862" t="s">
        <v>861</v>
      </c>
    </row>
    <row r="863" spans="1:1" x14ac:dyDescent="0.3">
      <c r="A863" t="s">
        <v>862</v>
      </c>
    </row>
    <row r="864" spans="1:1" x14ac:dyDescent="0.3">
      <c r="A864" t="s">
        <v>863</v>
      </c>
    </row>
    <row r="865" spans="1:1" x14ac:dyDescent="0.3">
      <c r="A865" t="s">
        <v>864</v>
      </c>
    </row>
    <row r="866" spans="1:1" x14ac:dyDescent="0.3">
      <c r="A866" t="s">
        <v>865</v>
      </c>
    </row>
    <row r="867" spans="1:1" x14ac:dyDescent="0.3">
      <c r="A867" t="s">
        <v>866</v>
      </c>
    </row>
    <row r="868" spans="1:1" x14ac:dyDescent="0.3">
      <c r="A868" t="s">
        <v>867</v>
      </c>
    </row>
    <row r="869" spans="1:1" x14ac:dyDescent="0.3">
      <c r="A869" t="s">
        <v>868</v>
      </c>
    </row>
    <row r="870" spans="1:1" x14ac:dyDescent="0.3">
      <c r="A870" t="s">
        <v>869</v>
      </c>
    </row>
    <row r="871" spans="1:1" x14ac:dyDescent="0.3">
      <c r="A871" t="s">
        <v>870</v>
      </c>
    </row>
    <row r="872" spans="1:1" x14ac:dyDescent="0.3">
      <c r="A872" t="s">
        <v>871</v>
      </c>
    </row>
    <row r="873" spans="1:1" x14ac:dyDescent="0.3">
      <c r="A873" t="s">
        <v>872</v>
      </c>
    </row>
    <row r="874" spans="1:1" x14ac:dyDescent="0.3">
      <c r="A874" t="s">
        <v>873</v>
      </c>
    </row>
    <row r="875" spans="1:1" x14ac:dyDescent="0.3">
      <c r="A875" t="s">
        <v>874</v>
      </c>
    </row>
    <row r="876" spans="1:1" x14ac:dyDescent="0.3">
      <c r="A876" t="s">
        <v>875</v>
      </c>
    </row>
    <row r="877" spans="1:1" x14ac:dyDescent="0.3">
      <c r="A877" t="s">
        <v>876</v>
      </c>
    </row>
    <row r="878" spans="1:1" x14ac:dyDescent="0.3">
      <c r="A878" t="s">
        <v>877</v>
      </c>
    </row>
    <row r="879" spans="1:1" x14ac:dyDescent="0.3">
      <c r="A879" t="s">
        <v>878</v>
      </c>
    </row>
    <row r="880" spans="1:1" x14ac:dyDescent="0.3">
      <c r="A880" t="s">
        <v>879</v>
      </c>
    </row>
    <row r="881" spans="1:1" x14ac:dyDescent="0.3">
      <c r="A881" t="s">
        <v>880</v>
      </c>
    </row>
    <row r="882" spans="1:1" x14ac:dyDescent="0.3">
      <c r="A882" t="s">
        <v>881</v>
      </c>
    </row>
    <row r="883" spans="1:1" x14ac:dyDescent="0.3">
      <c r="A883" t="s">
        <v>882</v>
      </c>
    </row>
    <row r="884" spans="1:1" x14ac:dyDescent="0.3">
      <c r="A884" t="s">
        <v>883</v>
      </c>
    </row>
    <row r="885" spans="1:1" x14ac:dyDescent="0.3">
      <c r="A885" t="s">
        <v>884</v>
      </c>
    </row>
    <row r="886" spans="1:1" x14ac:dyDescent="0.3">
      <c r="A886" t="s">
        <v>885</v>
      </c>
    </row>
    <row r="887" spans="1:1" x14ac:dyDescent="0.3">
      <c r="A887" t="s">
        <v>886</v>
      </c>
    </row>
    <row r="888" spans="1:1" x14ac:dyDescent="0.3">
      <c r="A888" t="s">
        <v>887</v>
      </c>
    </row>
    <row r="889" spans="1:1" x14ac:dyDescent="0.3">
      <c r="A889" t="s">
        <v>888</v>
      </c>
    </row>
    <row r="890" spans="1:1" x14ac:dyDescent="0.3">
      <c r="A890" t="s">
        <v>889</v>
      </c>
    </row>
    <row r="891" spans="1:1" x14ac:dyDescent="0.3">
      <c r="A891" t="s">
        <v>890</v>
      </c>
    </row>
    <row r="892" spans="1:1" x14ac:dyDescent="0.3">
      <c r="A892" t="s">
        <v>891</v>
      </c>
    </row>
    <row r="893" spans="1:1" x14ac:dyDescent="0.3">
      <c r="A893" t="s">
        <v>892</v>
      </c>
    </row>
    <row r="894" spans="1:1" x14ac:dyDescent="0.3">
      <c r="A894" t="s">
        <v>893</v>
      </c>
    </row>
    <row r="895" spans="1:1" x14ac:dyDescent="0.3">
      <c r="A895" t="s">
        <v>894</v>
      </c>
    </row>
    <row r="896" spans="1:1" x14ac:dyDescent="0.3">
      <c r="A896" t="s">
        <v>895</v>
      </c>
    </row>
    <row r="897" spans="1:1" x14ac:dyDescent="0.3">
      <c r="A897" t="s">
        <v>896</v>
      </c>
    </row>
    <row r="898" spans="1:1" x14ac:dyDescent="0.3">
      <c r="A898" t="s">
        <v>897</v>
      </c>
    </row>
    <row r="899" spans="1:1" x14ac:dyDescent="0.3">
      <c r="A899" t="s">
        <v>898</v>
      </c>
    </row>
    <row r="900" spans="1:1" x14ac:dyDescent="0.3">
      <c r="A900" t="s">
        <v>899</v>
      </c>
    </row>
    <row r="901" spans="1:1" x14ac:dyDescent="0.3">
      <c r="A901" t="s">
        <v>900</v>
      </c>
    </row>
    <row r="902" spans="1:1" x14ac:dyDescent="0.3">
      <c r="A902" t="s">
        <v>901</v>
      </c>
    </row>
    <row r="903" spans="1:1" x14ac:dyDescent="0.3">
      <c r="A903" t="s">
        <v>902</v>
      </c>
    </row>
    <row r="904" spans="1:1" x14ac:dyDescent="0.3">
      <c r="A904" t="s">
        <v>903</v>
      </c>
    </row>
    <row r="905" spans="1:1" x14ac:dyDescent="0.3">
      <c r="A905" t="s">
        <v>904</v>
      </c>
    </row>
    <row r="906" spans="1:1" x14ac:dyDescent="0.3">
      <c r="A906" t="s">
        <v>905</v>
      </c>
    </row>
    <row r="907" spans="1:1" x14ac:dyDescent="0.3">
      <c r="A907" t="s">
        <v>906</v>
      </c>
    </row>
    <row r="908" spans="1:1" x14ac:dyDescent="0.3">
      <c r="A908" t="s">
        <v>907</v>
      </c>
    </row>
    <row r="909" spans="1:1" x14ac:dyDescent="0.3">
      <c r="A909" t="s">
        <v>908</v>
      </c>
    </row>
    <row r="910" spans="1:1" x14ac:dyDescent="0.3">
      <c r="A910" t="s">
        <v>909</v>
      </c>
    </row>
    <row r="911" spans="1:1" x14ac:dyDescent="0.3">
      <c r="A911" t="s">
        <v>910</v>
      </c>
    </row>
    <row r="912" spans="1:1" x14ac:dyDescent="0.3">
      <c r="A912" t="s">
        <v>911</v>
      </c>
    </row>
    <row r="913" spans="1:1" x14ac:dyDescent="0.3">
      <c r="A913" t="s">
        <v>912</v>
      </c>
    </row>
    <row r="914" spans="1:1" x14ac:dyDescent="0.3">
      <c r="A914" t="s">
        <v>913</v>
      </c>
    </row>
    <row r="915" spans="1:1" x14ac:dyDescent="0.3">
      <c r="A915" t="s">
        <v>914</v>
      </c>
    </row>
    <row r="916" spans="1:1" x14ac:dyDescent="0.3">
      <c r="A916" t="s">
        <v>915</v>
      </c>
    </row>
    <row r="917" spans="1:1" x14ac:dyDescent="0.3">
      <c r="A917" t="s">
        <v>916</v>
      </c>
    </row>
    <row r="918" spans="1:1" x14ac:dyDescent="0.3">
      <c r="A918" t="s">
        <v>917</v>
      </c>
    </row>
    <row r="919" spans="1:1" x14ac:dyDescent="0.3">
      <c r="A919" t="s">
        <v>918</v>
      </c>
    </row>
    <row r="920" spans="1:1" x14ac:dyDescent="0.3">
      <c r="A920" t="s">
        <v>919</v>
      </c>
    </row>
    <row r="921" spans="1:1" x14ac:dyDescent="0.3">
      <c r="A921" t="s">
        <v>920</v>
      </c>
    </row>
    <row r="922" spans="1:1" x14ac:dyDescent="0.3">
      <c r="A922" t="s">
        <v>921</v>
      </c>
    </row>
    <row r="923" spans="1:1" x14ac:dyDescent="0.3">
      <c r="A923" t="s">
        <v>922</v>
      </c>
    </row>
    <row r="924" spans="1:1" x14ac:dyDescent="0.3">
      <c r="A924" t="s">
        <v>923</v>
      </c>
    </row>
    <row r="925" spans="1:1" x14ac:dyDescent="0.3">
      <c r="A925" t="s">
        <v>924</v>
      </c>
    </row>
    <row r="926" spans="1:1" x14ac:dyDescent="0.3">
      <c r="A926" t="s">
        <v>925</v>
      </c>
    </row>
    <row r="927" spans="1:1" x14ac:dyDescent="0.3">
      <c r="A927" t="s">
        <v>926</v>
      </c>
    </row>
    <row r="928" spans="1:1" x14ac:dyDescent="0.3">
      <c r="A928" t="s">
        <v>927</v>
      </c>
    </row>
    <row r="929" spans="1:1" x14ac:dyDescent="0.3">
      <c r="A929" t="s">
        <v>928</v>
      </c>
    </row>
    <row r="930" spans="1:1" x14ac:dyDescent="0.3">
      <c r="A930" t="s">
        <v>929</v>
      </c>
    </row>
    <row r="931" spans="1:1" x14ac:dyDescent="0.3">
      <c r="A931" t="s">
        <v>930</v>
      </c>
    </row>
    <row r="932" spans="1:1" x14ac:dyDescent="0.3">
      <c r="A932" t="s">
        <v>931</v>
      </c>
    </row>
    <row r="933" spans="1:1" x14ac:dyDescent="0.3">
      <c r="A933" t="s">
        <v>932</v>
      </c>
    </row>
    <row r="934" spans="1:1" x14ac:dyDescent="0.3">
      <c r="A934" t="s">
        <v>933</v>
      </c>
    </row>
    <row r="935" spans="1:1" x14ac:dyDescent="0.3">
      <c r="A935" t="s">
        <v>934</v>
      </c>
    </row>
    <row r="936" spans="1:1" x14ac:dyDescent="0.3">
      <c r="A936" t="s">
        <v>935</v>
      </c>
    </row>
    <row r="937" spans="1:1" x14ac:dyDescent="0.3">
      <c r="A937" t="s">
        <v>936</v>
      </c>
    </row>
    <row r="938" spans="1:1" x14ac:dyDescent="0.3">
      <c r="A938" t="s">
        <v>937</v>
      </c>
    </row>
    <row r="939" spans="1:1" x14ac:dyDescent="0.3">
      <c r="A939" t="s">
        <v>938</v>
      </c>
    </row>
    <row r="940" spans="1:1" x14ac:dyDescent="0.3">
      <c r="A940" t="s">
        <v>939</v>
      </c>
    </row>
    <row r="941" spans="1:1" x14ac:dyDescent="0.3">
      <c r="A941" t="s">
        <v>940</v>
      </c>
    </row>
    <row r="942" spans="1:1" x14ac:dyDescent="0.3">
      <c r="A942" t="s">
        <v>941</v>
      </c>
    </row>
    <row r="943" spans="1:1" x14ac:dyDescent="0.3">
      <c r="A943" t="s">
        <v>942</v>
      </c>
    </row>
    <row r="944" spans="1:1" x14ac:dyDescent="0.3">
      <c r="A944" t="s">
        <v>943</v>
      </c>
    </row>
    <row r="945" spans="1:1" x14ac:dyDescent="0.3">
      <c r="A945" t="s">
        <v>944</v>
      </c>
    </row>
    <row r="946" spans="1:1" x14ac:dyDescent="0.3">
      <c r="A946" t="s">
        <v>945</v>
      </c>
    </row>
    <row r="947" spans="1:1" x14ac:dyDescent="0.3">
      <c r="A947" t="s">
        <v>946</v>
      </c>
    </row>
    <row r="948" spans="1:1" x14ac:dyDescent="0.3">
      <c r="A948" t="s">
        <v>947</v>
      </c>
    </row>
    <row r="949" spans="1:1" x14ac:dyDescent="0.3">
      <c r="A949" t="s">
        <v>948</v>
      </c>
    </row>
    <row r="950" spans="1:1" x14ac:dyDescent="0.3">
      <c r="A950" t="s">
        <v>949</v>
      </c>
    </row>
    <row r="951" spans="1:1" x14ac:dyDescent="0.3">
      <c r="A951" t="s">
        <v>950</v>
      </c>
    </row>
    <row r="952" spans="1:1" x14ac:dyDescent="0.3">
      <c r="A952" t="s">
        <v>951</v>
      </c>
    </row>
    <row r="953" spans="1:1" x14ac:dyDescent="0.3">
      <c r="A953" t="s">
        <v>952</v>
      </c>
    </row>
    <row r="954" spans="1:1" x14ac:dyDescent="0.3">
      <c r="A954" t="s">
        <v>953</v>
      </c>
    </row>
    <row r="955" spans="1:1" x14ac:dyDescent="0.3">
      <c r="A955" t="s">
        <v>954</v>
      </c>
    </row>
    <row r="956" spans="1:1" x14ac:dyDescent="0.3">
      <c r="A956" t="s">
        <v>955</v>
      </c>
    </row>
    <row r="957" spans="1:1" x14ac:dyDescent="0.3">
      <c r="A957" t="s">
        <v>956</v>
      </c>
    </row>
    <row r="958" spans="1:1" x14ac:dyDescent="0.3">
      <c r="A958" t="s">
        <v>957</v>
      </c>
    </row>
    <row r="959" spans="1:1" x14ac:dyDescent="0.3">
      <c r="A959" t="s">
        <v>958</v>
      </c>
    </row>
    <row r="960" spans="1:1" x14ac:dyDescent="0.3">
      <c r="A960" t="s">
        <v>959</v>
      </c>
    </row>
    <row r="961" spans="1:1" x14ac:dyDescent="0.3">
      <c r="A961" t="s">
        <v>960</v>
      </c>
    </row>
    <row r="962" spans="1:1" x14ac:dyDescent="0.3">
      <c r="A962" t="s">
        <v>961</v>
      </c>
    </row>
    <row r="963" spans="1:1" x14ac:dyDescent="0.3">
      <c r="A963" t="s">
        <v>962</v>
      </c>
    </row>
    <row r="964" spans="1:1" x14ac:dyDescent="0.3">
      <c r="A964" t="s">
        <v>963</v>
      </c>
    </row>
    <row r="965" spans="1:1" x14ac:dyDescent="0.3">
      <c r="A965" t="s">
        <v>964</v>
      </c>
    </row>
    <row r="966" spans="1:1" x14ac:dyDescent="0.3">
      <c r="A966" t="s">
        <v>965</v>
      </c>
    </row>
    <row r="967" spans="1:1" x14ac:dyDescent="0.3">
      <c r="A967" t="s">
        <v>966</v>
      </c>
    </row>
    <row r="968" spans="1:1" x14ac:dyDescent="0.3">
      <c r="A968" t="s">
        <v>967</v>
      </c>
    </row>
    <row r="969" spans="1:1" x14ac:dyDescent="0.3">
      <c r="A969" t="s">
        <v>968</v>
      </c>
    </row>
    <row r="970" spans="1:1" x14ac:dyDescent="0.3">
      <c r="A970" t="s">
        <v>969</v>
      </c>
    </row>
    <row r="971" spans="1:1" x14ac:dyDescent="0.3">
      <c r="A971" t="s">
        <v>970</v>
      </c>
    </row>
    <row r="972" spans="1:1" x14ac:dyDescent="0.3">
      <c r="A972" t="s">
        <v>971</v>
      </c>
    </row>
    <row r="973" spans="1:1" x14ac:dyDescent="0.3">
      <c r="A973" t="s">
        <v>972</v>
      </c>
    </row>
    <row r="974" spans="1:1" x14ac:dyDescent="0.3">
      <c r="A974" t="s">
        <v>973</v>
      </c>
    </row>
    <row r="975" spans="1:1" x14ac:dyDescent="0.3">
      <c r="A975" t="s">
        <v>974</v>
      </c>
    </row>
    <row r="976" spans="1:1" x14ac:dyDescent="0.3">
      <c r="A976" t="s">
        <v>975</v>
      </c>
    </row>
    <row r="977" spans="1:1" x14ac:dyDescent="0.3">
      <c r="A977" t="s">
        <v>976</v>
      </c>
    </row>
    <row r="978" spans="1:1" x14ac:dyDescent="0.3">
      <c r="A978" t="s">
        <v>977</v>
      </c>
    </row>
    <row r="979" spans="1:1" x14ac:dyDescent="0.3">
      <c r="A979" t="s">
        <v>978</v>
      </c>
    </row>
    <row r="980" spans="1:1" x14ac:dyDescent="0.3">
      <c r="A980" t="s">
        <v>979</v>
      </c>
    </row>
    <row r="981" spans="1:1" x14ac:dyDescent="0.3">
      <c r="A981" t="s">
        <v>980</v>
      </c>
    </row>
    <row r="982" spans="1:1" x14ac:dyDescent="0.3">
      <c r="A982" t="s">
        <v>981</v>
      </c>
    </row>
    <row r="983" spans="1:1" x14ac:dyDescent="0.3">
      <c r="A983" t="s">
        <v>982</v>
      </c>
    </row>
    <row r="984" spans="1:1" x14ac:dyDescent="0.3">
      <c r="A984" t="s">
        <v>983</v>
      </c>
    </row>
    <row r="985" spans="1:1" x14ac:dyDescent="0.3">
      <c r="A985" t="s">
        <v>984</v>
      </c>
    </row>
    <row r="986" spans="1:1" x14ac:dyDescent="0.3">
      <c r="A986" t="s">
        <v>985</v>
      </c>
    </row>
    <row r="987" spans="1:1" x14ac:dyDescent="0.3">
      <c r="A987" t="s">
        <v>986</v>
      </c>
    </row>
    <row r="988" spans="1:1" x14ac:dyDescent="0.3">
      <c r="A988" t="s">
        <v>987</v>
      </c>
    </row>
    <row r="989" spans="1:1" x14ac:dyDescent="0.3">
      <c r="A989" t="s">
        <v>988</v>
      </c>
    </row>
    <row r="990" spans="1:1" x14ac:dyDescent="0.3">
      <c r="A990" t="s">
        <v>989</v>
      </c>
    </row>
    <row r="991" spans="1:1" x14ac:dyDescent="0.3">
      <c r="A991" t="s">
        <v>990</v>
      </c>
    </row>
    <row r="992" spans="1:1" x14ac:dyDescent="0.3">
      <c r="A992" t="s">
        <v>991</v>
      </c>
    </row>
    <row r="993" spans="1:1" x14ac:dyDescent="0.3">
      <c r="A993" t="s">
        <v>992</v>
      </c>
    </row>
    <row r="994" spans="1:1" x14ac:dyDescent="0.3">
      <c r="A994" t="s">
        <v>993</v>
      </c>
    </row>
    <row r="995" spans="1:1" x14ac:dyDescent="0.3">
      <c r="A995" t="s">
        <v>994</v>
      </c>
    </row>
    <row r="996" spans="1:1" x14ac:dyDescent="0.3">
      <c r="A996" t="s">
        <v>995</v>
      </c>
    </row>
    <row r="997" spans="1:1" x14ac:dyDescent="0.3">
      <c r="A997" t="s">
        <v>996</v>
      </c>
    </row>
    <row r="998" spans="1:1" x14ac:dyDescent="0.3">
      <c r="A998" t="s">
        <v>997</v>
      </c>
    </row>
    <row r="999" spans="1:1" x14ac:dyDescent="0.3">
      <c r="A999" t="s">
        <v>998</v>
      </c>
    </row>
    <row r="1000" spans="1:1" x14ac:dyDescent="0.3">
      <c r="A1000" t="s">
        <v>999</v>
      </c>
    </row>
    <row r="1001" spans="1:1" x14ac:dyDescent="0.3">
      <c r="A1001" t="s">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969E-30A3-46FD-BD7F-6D8862490A08}">
  <dimension ref="A1:P1001"/>
  <sheetViews>
    <sheetView topLeftCell="E1" workbookViewId="0">
      <selection activeCell="Q11" sqref="Q11"/>
    </sheetView>
  </sheetViews>
  <sheetFormatPr defaultRowHeight="14.4" x14ac:dyDescent="0.3"/>
  <cols>
    <col min="1" max="1" width="6.21875" bestFit="1" customWidth="1"/>
    <col min="2" max="2" width="7" bestFit="1" customWidth="1"/>
    <col min="3" max="3" width="6" bestFit="1" customWidth="1"/>
    <col min="4" max="4" width="9.88671875" bestFit="1" customWidth="1"/>
    <col min="5" max="5" width="16.6640625" bestFit="1" customWidth="1"/>
    <col min="6" max="6" width="18" bestFit="1" customWidth="1"/>
    <col min="7" max="7" width="15.33203125" style="5" bestFit="1" customWidth="1"/>
    <col min="8" max="8" width="14.5546875" bestFit="1" customWidth="1"/>
    <col min="9" max="9" width="18" bestFit="1" customWidth="1"/>
    <col min="10" max="10" width="11.109375" bestFit="1" customWidth="1"/>
    <col min="11" max="11" width="9.44140625" bestFit="1" customWidth="1"/>
    <col min="12" max="12" width="18" bestFit="1" customWidth="1"/>
    <col min="13" max="13" width="14.33203125" bestFit="1" customWidth="1"/>
  </cols>
  <sheetData>
    <row r="1" spans="1:16" x14ac:dyDescent="0.3">
      <c r="A1" s="1" t="s">
        <v>1001</v>
      </c>
      <c r="B1" s="1" t="s">
        <v>1002</v>
      </c>
      <c r="C1" s="1" t="s">
        <v>1003</v>
      </c>
      <c r="D1" s="1" t="s">
        <v>1004</v>
      </c>
      <c r="E1" s="1" t="s">
        <v>1005</v>
      </c>
      <c r="F1" s="1" t="s">
        <v>1006</v>
      </c>
      <c r="G1" s="4" t="s">
        <v>1026</v>
      </c>
      <c r="H1" s="1" t="s">
        <v>1027</v>
      </c>
      <c r="I1" s="1" t="s">
        <v>1007</v>
      </c>
      <c r="J1" s="1" t="s">
        <v>1028</v>
      </c>
      <c r="K1" s="1" t="s">
        <v>1029</v>
      </c>
      <c r="L1" s="1" t="s">
        <v>1030</v>
      </c>
      <c r="M1" s="1" t="s">
        <v>1041</v>
      </c>
      <c r="N1" s="1"/>
      <c r="O1" s="1"/>
      <c r="P1" s="1"/>
    </row>
    <row r="2" spans="1:16" x14ac:dyDescent="0.3">
      <c r="A2">
        <v>67</v>
      </c>
      <c r="B2" t="s">
        <v>1010</v>
      </c>
      <c r="C2">
        <v>2</v>
      </c>
      <c r="D2" t="s">
        <v>1016</v>
      </c>
      <c r="E2" t="s">
        <v>1011</v>
      </c>
      <c r="F2" t="s">
        <v>1012</v>
      </c>
      <c r="G2" s="5">
        <v>1169</v>
      </c>
      <c r="H2">
        <v>6</v>
      </c>
      <c r="I2" t="s">
        <v>1023</v>
      </c>
      <c r="J2" t="str">
        <f>IF(OR(G2&gt;7000,H2&gt;36),"High Risk",
IF(AND(G2&gt;4000,H2&gt;24),"Medium Risk",
"Low Risk"))</f>
        <v>Low Risk</v>
      </c>
      <c r="K2" t="str">
        <f>IF(A2&lt;30,"Young",IF(A2&gt;50,"Adult","Senior"))</f>
        <v>Adult</v>
      </c>
      <c r="L2" t="str">
        <f>IF(H2&lt;12,"Short",IF(H2&lt;36,"Medium","Long"))</f>
        <v>Short</v>
      </c>
      <c r="M2" t="str">
        <f>IF(G2&lt;3000,"Low Risk",IF(G2&lt;=6000,"Medium Risk","HighRisk"))</f>
        <v>Low Risk</v>
      </c>
    </row>
    <row r="3" spans="1:16" x14ac:dyDescent="0.3">
      <c r="A3">
        <v>22</v>
      </c>
      <c r="B3" t="s">
        <v>1009</v>
      </c>
      <c r="C3">
        <v>2</v>
      </c>
      <c r="D3" t="s">
        <v>1016</v>
      </c>
      <c r="E3" t="s">
        <v>1012</v>
      </c>
      <c r="F3" t="s">
        <v>1013</v>
      </c>
      <c r="G3" s="5">
        <v>5951</v>
      </c>
      <c r="H3">
        <v>48</v>
      </c>
      <c r="I3" t="s">
        <v>1023</v>
      </c>
      <c r="J3" t="str">
        <f t="shared" ref="J3:J66" si="0">IF(OR(G3&gt;7000,H3&gt;36),"High Risk",
IF(AND(G3&gt;4000,H3&gt;24),"Medium Risk",
"Low Risk"))</f>
        <v>High Risk</v>
      </c>
      <c r="K3" t="str">
        <f t="shared" ref="K3:K66" si="1">IF(A3&lt;30,"Young",IF(A3&gt;50,"Adult","Senior"))</f>
        <v>Young</v>
      </c>
      <c r="L3" t="str">
        <f t="shared" ref="L3:L66" si="2">IF(H3&lt;12,"Short",IF(H3&lt;36,"Medium","Long"))</f>
        <v>Long</v>
      </c>
      <c r="M3" t="str">
        <f t="shared" ref="M3:M66" si="3">IF(G3&lt;3000,"Low Risk",IF(G3&lt;=6000,"Medium Risk","HighRisk"))</f>
        <v>Medium Risk</v>
      </c>
    </row>
    <row r="4" spans="1:16" x14ac:dyDescent="0.3">
      <c r="A4">
        <v>49</v>
      </c>
      <c r="B4" t="s">
        <v>1010</v>
      </c>
      <c r="C4">
        <v>1</v>
      </c>
      <c r="D4" t="s">
        <v>1016</v>
      </c>
      <c r="E4" t="s">
        <v>1012</v>
      </c>
      <c r="F4" t="s">
        <v>1011</v>
      </c>
      <c r="G4" s="5">
        <v>2096</v>
      </c>
      <c r="H4">
        <v>12</v>
      </c>
      <c r="I4" t="s">
        <v>1021</v>
      </c>
      <c r="J4" t="str">
        <f t="shared" si="0"/>
        <v>Low Risk</v>
      </c>
      <c r="K4" t="str">
        <f t="shared" si="1"/>
        <v>Senior</v>
      </c>
      <c r="L4" t="str">
        <f t="shared" si="2"/>
        <v>Medium</v>
      </c>
      <c r="M4" t="str">
        <f t="shared" si="3"/>
        <v>Low Risk</v>
      </c>
    </row>
    <row r="5" spans="1:16" x14ac:dyDescent="0.3">
      <c r="A5">
        <v>45</v>
      </c>
      <c r="B5" t="s">
        <v>1010</v>
      </c>
      <c r="C5">
        <v>2</v>
      </c>
      <c r="D5" t="s">
        <v>1015</v>
      </c>
      <c r="E5" t="s">
        <v>1012</v>
      </c>
      <c r="F5" t="s">
        <v>1012</v>
      </c>
      <c r="G5" s="5">
        <v>7882</v>
      </c>
      <c r="H5">
        <v>42</v>
      </c>
      <c r="I5" t="s">
        <v>1022</v>
      </c>
      <c r="J5" t="str">
        <f t="shared" si="0"/>
        <v>High Risk</v>
      </c>
      <c r="K5" t="str">
        <f t="shared" si="1"/>
        <v>Senior</v>
      </c>
      <c r="L5" t="str">
        <f t="shared" si="2"/>
        <v>Long</v>
      </c>
      <c r="M5" t="str">
        <f t="shared" si="3"/>
        <v>HighRisk</v>
      </c>
    </row>
    <row r="6" spans="1:16" x14ac:dyDescent="0.3">
      <c r="A6">
        <v>53</v>
      </c>
      <c r="B6" t="s">
        <v>1010</v>
      </c>
      <c r="C6">
        <v>2</v>
      </c>
      <c r="D6" t="s">
        <v>1015</v>
      </c>
      <c r="E6" t="s">
        <v>1012</v>
      </c>
      <c r="F6" t="s">
        <v>1012</v>
      </c>
      <c r="G6" s="5">
        <v>4870</v>
      </c>
      <c r="H6">
        <v>24</v>
      </c>
      <c r="I6" t="s">
        <v>1019</v>
      </c>
      <c r="J6" t="str">
        <f t="shared" si="0"/>
        <v>Low Risk</v>
      </c>
      <c r="K6" t="str">
        <f t="shared" si="1"/>
        <v>Adult</v>
      </c>
      <c r="L6" t="str">
        <f t="shared" si="2"/>
        <v>Medium</v>
      </c>
      <c r="M6" t="str">
        <f t="shared" si="3"/>
        <v>Medium Risk</v>
      </c>
    </row>
    <row r="7" spans="1:16" x14ac:dyDescent="0.3">
      <c r="A7">
        <v>35</v>
      </c>
      <c r="B7" t="s">
        <v>1010</v>
      </c>
      <c r="C7">
        <v>1</v>
      </c>
      <c r="D7" t="s">
        <v>1015</v>
      </c>
      <c r="E7" t="s">
        <v>1011</v>
      </c>
      <c r="F7" t="s">
        <v>1011</v>
      </c>
      <c r="G7" s="5">
        <v>9055</v>
      </c>
      <c r="H7">
        <v>36</v>
      </c>
      <c r="I7" t="s">
        <v>1021</v>
      </c>
      <c r="J7" t="str">
        <f t="shared" si="0"/>
        <v>High Risk</v>
      </c>
      <c r="K7" t="str">
        <f t="shared" si="1"/>
        <v>Senior</v>
      </c>
      <c r="L7" t="str">
        <f t="shared" si="2"/>
        <v>Long</v>
      </c>
      <c r="M7" t="str">
        <f t="shared" si="3"/>
        <v>HighRisk</v>
      </c>
    </row>
    <row r="8" spans="1:16" x14ac:dyDescent="0.3">
      <c r="A8">
        <v>53</v>
      </c>
      <c r="B8" t="s">
        <v>1010</v>
      </c>
      <c r="C8">
        <v>2</v>
      </c>
      <c r="D8" t="s">
        <v>1016</v>
      </c>
      <c r="E8" t="s">
        <v>1014</v>
      </c>
      <c r="F8" t="s">
        <v>1011</v>
      </c>
      <c r="G8" s="5">
        <v>2835</v>
      </c>
      <c r="H8">
        <v>24</v>
      </c>
      <c r="I8" t="s">
        <v>1022</v>
      </c>
      <c r="J8" t="str">
        <f t="shared" si="0"/>
        <v>Low Risk</v>
      </c>
      <c r="K8" t="str">
        <f t="shared" si="1"/>
        <v>Adult</v>
      </c>
      <c r="L8" t="str">
        <f t="shared" si="2"/>
        <v>Medium</v>
      </c>
      <c r="M8" t="str">
        <f t="shared" si="3"/>
        <v>Low Risk</v>
      </c>
    </row>
    <row r="9" spans="1:16" x14ac:dyDescent="0.3">
      <c r="A9">
        <v>35</v>
      </c>
      <c r="B9" t="s">
        <v>1010</v>
      </c>
      <c r="C9">
        <v>3</v>
      </c>
      <c r="D9" t="s">
        <v>1017</v>
      </c>
      <c r="E9" t="s">
        <v>1012</v>
      </c>
      <c r="F9" t="s">
        <v>1013</v>
      </c>
      <c r="G9" s="5">
        <v>6948</v>
      </c>
      <c r="H9">
        <v>36</v>
      </c>
      <c r="I9" t="s">
        <v>1019</v>
      </c>
      <c r="J9" t="str">
        <f t="shared" si="0"/>
        <v>Medium Risk</v>
      </c>
      <c r="K9" t="str">
        <f t="shared" si="1"/>
        <v>Senior</v>
      </c>
      <c r="L9" t="str">
        <f t="shared" si="2"/>
        <v>Long</v>
      </c>
      <c r="M9" t="str">
        <f t="shared" si="3"/>
        <v>HighRisk</v>
      </c>
    </row>
    <row r="10" spans="1:16" x14ac:dyDescent="0.3">
      <c r="A10">
        <v>61</v>
      </c>
      <c r="B10" t="s">
        <v>1010</v>
      </c>
      <c r="C10">
        <v>1</v>
      </c>
      <c r="D10" t="s">
        <v>1016</v>
      </c>
      <c r="E10" t="s">
        <v>1008</v>
      </c>
      <c r="F10" t="s">
        <v>1011</v>
      </c>
      <c r="G10" s="5">
        <v>3059</v>
      </c>
      <c r="H10">
        <v>12</v>
      </c>
      <c r="I10" t="s">
        <v>1023</v>
      </c>
      <c r="J10" t="str">
        <f t="shared" si="0"/>
        <v>Low Risk</v>
      </c>
      <c r="K10" t="str">
        <f t="shared" si="1"/>
        <v>Adult</v>
      </c>
      <c r="L10" t="str">
        <f t="shared" si="2"/>
        <v>Medium</v>
      </c>
      <c r="M10" t="str">
        <f t="shared" si="3"/>
        <v>Medium Risk</v>
      </c>
    </row>
    <row r="11" spans="1:16" x14ac:dyDescent="0.3">
      <c r="A11">
        <v>28</v>
      </c>
      <c r="B11" t="s">
        <v>1010</v>
      </c>
      <c r="C11">
        <v>3</v>
      </c>
      <c r="D11" t="s">
        <v>1016</v>
      </c>
      <c r="E11" t="s">
        <v>1012</v>
      </c>
      <c r="F11" t="s">
        <v>1013</v>
      </c>
      <c r="G11" s="5">
        <v>5234</v>
      </c>
      <c r="H11">
        <v>30</v>
      </c>
      <c r="I11" t="s">
        <v>1019</v>
      </c>
      <c r="J11" t="str">
        <f t="shared" si="0"/>
        <v>Medium Risk</v>
      </c>
      <c r="K11" t="str">
        <f t="shared" si="1"/>
        <v>Young</v>
      </c>
      <c r="L11" t="str">
        <f t="shared" si="2"/>
        <v>Medium</v>
      </c>
      <c r="M11" t="str">
        <f t="shared" si="3"/>
        <v>Medium Risk</v>
      </c>
    </row>
    <row r="12" spans="1:16" x14ac:dyDescent="0.3">
      <c r="A12">
        <v>25</v>
      </c>
      <c r="B12" t="s">
        <v>1009</v>
      </c>
      <c r="C12">
        <v>2</v>
      </c>
      <c r="D12" t="s">
        <v>1017</v>
      </c>
      <c r="E12" t="s">
        <v>1012</v>
      </c>
      <c r="F12" t="s">
        <v>1013</v>
      </c>
      <c r="G12" s="5">
        <v>1295</v>
      </c>
      <c r="H12">
        <v>12</v>
      </c>
      <c r="I12" t="s">
        <v>1019</v>
      </c>
      <c r="J12" t="str">
        <f t="shared" si="0"/>
        <v>Low Risk</v>
      </c>
      <c r="K12" t="str">
        <f t="shared" si="1"/>
        <v>Young</v>
      </c>
      <c r="L12" t="str">
        <f t="shared" si="2"/>
        <v>Medium</v>
      </c>
      <c r="M12" t="str">
        <f t="shared" si="3"/>
        <v>Low Risk</v>
      </c>
    </row>
    <row r="13" spans="1:16" x14ac:dyDescent="0.3">
      <c r="A13">
        <v>24</v>
      </c>
      <c r="B13" t="s">
        <v>1009</v>
      </c>
      <c r="C13">
        <v>2</v>
      </c>
      <c r="D13" t="s">
        <v>1017</v>
      </c>
      <c r="E13" t="s">
        <v>1012</v>
      </c>
      <c r="F13" t="s">
        <v>1012</v>
      </c>
      <c r="G13" s="5">
        <v>4308</v>
      </c>
      <c r="H13">
        <v>48</v>
      </c>
      <c r="I13" t="s">
        <v>1018</v>
      </c>
      <c r="J13" t="str">
        <f t="shared" si="0"/>
        <v>High Risk</v>
      </c>
      <c r="K13" t="str">
        <f t="shared" si="1"/>
        <v>Young</v>
      </c>
      <c r="L13" t="str">
        <f t="shared" si="2"/>
        <v>Long</v>
      </c>
      <c r="M13" t="str">
        <f t="shared" si="3"/>
        <v>Medium Risk</v>
      </c>
    </row>
    <row r="14" spans="1:16" x14ac:dyDescent="0.3">
      <c r="A14">
        <v>22</v>
      </c>
      <c r="B14" t="s">
        <v>1009</v>
      </c>
      <c r="C14">
        <v>2</v>
      </c>
      <c r="D14" t="s">
        <v>1016</v>
      </c>
      <c r="E14" t="s">
        <v>1012</v>
      </c>
      <c r="F14" t="s">
        <v>1013</v>
      </c>
      <c r="G14" s="5">
        <v>1567</v>
      </c>
      <c r="H14">
        <v>12</v>
      </c>
      <c r="I14" t="s">
        <v>1023</v>
      </c>
      <c r="J14" t="str">
        <f t="shared" si="0"/>
        <v>Low Risk</v>
      </c>
      <c r="K14" t="str">
        <f t="shared" si="1"/>
        <v>Young</v>
      </c>
      <c r="L14" t="str">
        <f t="shared" si="2"/>
        <v>Medium</v>
      </c>
      <c r="M14" t="str">
        <f t="shared" si="3"/>
        <v>Low Risk</v>
      </c>
    </row>
    <row r="15" spans="1:16" x14ac:dyDescent="0.3">
      <c r="A15">
        <v>60</v>
      </c>
      <c r="B15" t="s">
        <v>1010</v>
      </c>
      <c r="C15">
        <v>1</v>
      </c>
      <c r="D15" t="s">
        <v>1016</v>
      </c>
      <c r="E15" t="s">
        <v>1012</v>
      </c>
      <c r="F15" t="s">
        <v>1012</v>
      </c>
      <c r="G15" s="5">
        <v>1199</v>
      </c>
      <c r="H15">
        <v>24</v>
      </c>
      <c r="I15" t="s">
        <v>1019</v>
      </c>
      <c r="J15" t="str">
        <f t="shared" si="0"/>
        <v>Low Risk</v>
      </c>
      <c r="K15" t="str">
        <f t="shared" si="1"/>
        <v>Adult</v>
      </c>
      <c r="L15" t="str">
        <f t="shared" si="2"/>
        <v>Medium</v>
      </c>
      <c r="M15" t="str">
        <f t="shared" si="3"/>
        <v>Low Risk</v>
      </c>
    </row>
    <row r="16" spans="1:16" x14ac:dyDescent="0.3">
      <c r="A16">
        <v>28</v>
      </c>
      <c r="B16" t="s">
        <v>1009</v>
      </c>
      <c r="C16">
        <v>2</v>
      </c>
      <c r="D16" t="s">
        <v>1017</v>
      </c>
      <c r="E16" t="s">
        <v>1012</v>
      </c>
      <c r="F16" t="s">
        <v>1012</v>
      </c>
      <c r="G16" s="5">
        <v>1403</v>
      </c>
      <c r="H16">
        <v>15</v>
      </c>
      <c r="I16" t="s">
        <v>1019</v>
      </c>
      <c r="J16" t="str">
        <f t="shared" si="0"/>
        <v>Low Risk</v>
      </c>
      <c r="K16" t="str">
        <f t="shared" si="1"/>
        <v>Young</v>
      </c>
      <c r="L16" t="str">
        <f t="shared" si="2"/>
        <v>Medium</v>
      </c>
      <c r="M16" t="str">
        <f t="shared" si="3"/>
        <v>Low Risk</v>
      </c>
    </row>
    <row r="17" spans="1:13" x14ac:dyDescent="0.3">
      <c r="A17">
        <v>32</v>
      </c>
      <c r="B17" t="s">
        <v>1009</v>
      </c>
      <c r="C17">
        <v>1</v>
      </c>
      <c r="D17" t="s">
        <v>1016</v>
      </c>
      <c r="E17" t="s">
        <v>1013</v>
      </c>
      <c r="F17" t="s">
        <v>1012</v>
      </c>
      <c r="G17" s="5">
        <v>1282</v>
      </c>
      <c r="H17">
        <v>24</v>
      </c>
      <c r="I17" t="s">
        <v>1023</v>
      </c>
      <c r="J17" t="str">
        <f t="shared" si="0"/>
        <v>Low Risk</v>
      </c>
      <c r="K17" t="str">
        <f t="shared" si="1"/>
        <v>Senior</v>
      </c>
      <c r="L17" t="str">
        <f t="shared" si="2"/>
        <v>Medium</v>
      </c>
      <c r="M17" t="str">
        <f t="shared" si="3"/>
        <v>Low Risk</v>
      </c>
    </row>
    <row r="18" spans="1:13" x14ac:dyDescent="0.3">
      <c r="A18">
        <v>53</v>
      </c>
      <c r="B18" t="s">
        <v>1010</v>
      </c>
      <c r="C18">
        <v>2</v>
      </c>
      <c r="D18" t="s">
        <v>1016</v>
      </c>
      <c r="E18" t="s">
        <v>1011</v>
      </c>
      <c r="F18" t="s">
        <v>1011</v>
      </c>
      <c r="G18" s="5">
        <v>2424</v>
      </c>
      <c r="H18">
        <v>24</v>
      </c>
      <c r="I18" t="s">
        <v>1023</v>
      </c>
      <c r="J18" t="str">
        <f t="shared" si="0"/>
        <v>Low Risk</v>
      </c>
      <c r="K18" t="str">
        <f t="shared" si="1"/>
        <v>Adult</v>
      </c>
      <c r="L18" t="str">
        <f t="shared" si="2"/>
        <v>Medium</v>
      </c>
      <c r="M18" t="str">
        <f t="shared" si="3"/>
        <v>Low Risk</v>
      </c>
    </row>
    <row r="19" spans="1:13" x14ac:dyDescent="0.3">
      <c r="A19">
        <v>25</v>
      </c>
      <c r="B19" t="s">
        <v>1010</v>
      </c>
      <c r="C19">
        <v>2</v>
      </c>
      <c r="D19" t="s">
        <v>1016</v>
      </c>
      <c r="E19" t="s">
        <v>1011</v>
      </c>
      <c r="F19" t="s">
        <v>1012</v>
      </c>
      <c r="G19" s="5">
        <v>8072</v>
      </c>
      <c r="H19">
        <v>30</v>
      </c>
      <c r="I19" t="s">
        <v>1018</v>
      </c>
      <c r="J19" t="str">
        <f t="shared" si="0"/>
        <v>High Risk</v>
      </c>
      <c r="K19" t="str">
        <f t="shared" si="1"/>
        <v>Young</v>
      </c>
      <c r="L19" t="str">
        <f t="shared" si="2"/>
        <v>Medium</v>
      </c>
      <c r="M19" t="str">
        <f t="shared" si="3"/>
        <v>HighRisk</v>
      </c>
    </row>
    <row r="20" spans="1:13" x14ac:dyDescent="0.3">
      <c r="A20">
        <v>44</v>
      </c>
      <c r="B20" t="s">
        <v>1009</v>
      </c>
      <c r="C20">
        <v>3</v>
      </c>
      <c r="D20" t="s">
        <v>1015</v>
      </c>
      <c r="E20" t="s">
        <v>1012</v>
      </c>
      <c r="F20" t="s">
        <v>1013</v>
      </c>
      <c r="G20" s="5">
        <v>12579</v>
      </c>
      <c r="H20">
        <v>24</v>
      </c>
      <c r="I20" t="s">
        <v>1019</v>
      </c>
      <c r="J20" t="str">
        <f t="shared" si="0"/>
        <v>High Risk</v>
      </c>
      <c r="K20" t="str">
        <f t="shared" si="1"/>
        <v>Senior</v>
      </c>
      <c r="L20" t="str">
        <f t="shared" si="2"/>
        <v>Medium</v>
      </c>
      <c r="M20" t="str">
        <f t="shared" si="3"/>
        <v>HighRisk</v>
      </c>
    </row>
    <row r="21" spans="1:13" x14ac:dyDescent="0.3">
      <c r="A21">
        <v>31</v>
      </c>
      <c r="B21" t="s">
        <v>1010</v>
      </c>
      <c r="C21">
        <v>2</v>
      </c>
      <c r="D21" t="s">
        <v>1016</v>
      </c>
      <c r="E21" t="s">
        <v>1014</v>
      </c>
      <c r="F21" t="s">
        <v>1011</v>
      </c>
      <c r="G21" s="5">
        <v>3430</v>
      </c>
      <c r="H21">
        <v>24</v>
      </c>
      <c r="I21" t="s">
        <v>1023</v>
      </c>
      <c r="J21" t="str">
        <f t="shared" si="0"/>
        <v>Low Risk</v>
      </c>
      <c r="K21" t="str">
        <f t="shared" si="1"/>
        <v>Senior</v>
      </c>
      <c r="L21" t="str">
        <f t="shared" si="2"/>
        <v>Medium</v>
      </c>
      <c r="M21" t="str">
        <f t="shared" si="3"/>
        <v>Medium Risk</v>
      </c>
    </row>
    <row r="22" spans="1:13" x14ac:dyDescent="0.3">
      <c r="A22">
        <v>48</v>
      </c>
      <c r="B22" t="s">
        <v>1010</v>
      </c>
      <c r="C22">
        <v>2</v>
      </c>
      <c r="D22" t="s">
        <v>1016</v>
      </c>
      <c r="E22" t="s">
        <v>1012</v>
      </c>
      <c r="F22" t="s">
        <v>1011</v>
      </c>
      <c r="G22" s="5">
        <v>2134</v>
      </c>
      <c r="H22">
        <v>9</v>
      </c>
      <c r="I22" t="s">
        <v>1019</v>
      </c>
      <c r="J22" t="str">
        <f t="shared" si="0"/>
        <v>Low Risk</v>
      </c>
      <c r="K22" t="str">
        <f t="shared" si="1"/>
        <v>Senior</v>
      </c>
      <c r="L22" t="str">
        <f t="shared" si="2"/>
        <v>Short</v>
      </c>
      <c r="M22" t="str">
        <f t="shared" si="3"/>
        <v>Low Risk</v>
      </c>
    </row>
    <row r="23" spans="1:13" x14ac:dyDescent="0.3">
      <c r="A23">
        <v>44</v>
      </c>
      <c r="B23" t="s">
        <v>1010</v>
      </c>
      <c r="C23">
        <v>2</v>
      </c>
      <c r="D23" t="s">
        <v>1017</v>
      </c>
      <c r="E23" t="s">
        <v>1014</v>
      </c>
      <c r="F23" t="s">
        <v>1012</v>
      </c>
      <c r="G23" s="5">
        <v>2647</v>
      </c>
      <c r="H23">
        <v>6</v>
      </c>
      <c r="I23" t="s">
        <v>1023</v>
      </c>
      <c r="J23" t="str">
        <f t="shared" si="0"/>
        <v>Low Risk</v>
      </c>
      <c r="K23" t="str">
        <f t="shared" si="1"/>
        <v>Senior</v>
      </c>
      <c r="L23" t="str">
        <f t="shared" si="2"/>
        <v>Short</v>
      </c>
      <c r="M23" t="str">
        <f t="shared" si="3"/>
        <v>Low Risk</v>
      </c>
    </row>
    <row r="24" spans="1:13" x14ac:dyDescent="0.3">
      <c r="A24">
        <v>48</v>
      </c>
      <c r="B24" t="s">
        <v>1010</v>
      </c>
      <c r="C24">
        <v>1</v>
      </c>
      <c r="D24" t="s">
        <v>1017</v>
      </c>
      <c r="E24" t="s">
        <v>1012</v>
      </c>
      <c r="F24" t="s">
        <v>1012</v>
      </c>
      <c r="G24" s="5">
        <v>2241</v>
      </c>
      <c r="H24">
        <v>10</v>
      </c>
      <c r="I24" t="s">
        <v>1019</v>
      </c>
      <c r="J24" t="str">
        <f t="shared" si="0"/>
        <v>Low Risk</v>
      </c>
      <c r="K24" t="str">
        <f t="shared" si="1"/>
        <v>Senior</v>
      </c>
      <c r="L24" t="str">
        <f t="shared" si="2"/>
        <v>Short</v>
      </c>
      <c r="M24" t="str">
        <f t="shared" si="3"/>
        <v>Low Risk</v>
      </c>
    </row>
    <row r="25" spans="1:13" x14ac:dyDescent="0.3">
      <c r="A25">
        <v>44</v>
      </c>
      <c r="B25" t="s">
        <v>1010</v>
      </c>
      <c r="C25">
        <v>2</v>
      </c>
      <c r="D25" t="s">
        <v>1016</v>
      </c>
      <c r="E25" t="s">
        <v>1013</v>
      </c>
      <c r="F25" t="s">
        <v>1013</v>
      </c>
      <c r="G25" s="5">
        <v>1804</v>
      </c>
      <c r="H25">
        <v>12</v>
      </c>
      <c r="I25" t="s">
        <v>1019</v>
      </c>
      <c r="J25" t="str">
        <f t="shared" si="0"/>
        <v>Low Risk</v>
      </c>
      <c r="K25" t="str">
        <f t="shared" si="1"/>
        <v>Senior</v>
      </c>
      <c r="L25" t="str">
        <f t="shared" si="2"/>
        <v>Medium</v>
      </c>
      <c r="M25" t="str">
        <f t="shared" si="3"/>
        <v>Low Risk</v>
      </c>
    </row>
    <row r="26" spans="1:13" x14ac:dyDescent="0.3">
      <c r="A26">
        <v>26</v>
      </c>
      <c r="B26" t="s">
        <v>1010</v>
      </c>
      <c r="C26">
        <v>2</v>
      </c>
      <c r="D26" t="s">
        <v>1016</v>
      </c>
      <c r="E26" t="s">
        <v>1011</v>
      </c>
      <c r="F26" t="s">
        <v>1011</v>
      </c>
      <c r="G26" s="5">
        <v>2069</v>
      </c>
      <c r="H26">
        <v>10</v>
      </c>
      <c r="I26" t="s">
        <v>1022</v>
      </c>
      <c r="J26" t="str">
        <f t="shared" si="0"/>
        <v>Low Risk</v>
      </c>
      <c r="K26" t="str">
        <f t="shared" si="1"/>
        <v>Young</v>
      </c>
      <c r="L26" t="str">
        <f t="shared" si="2"/>
        <v>Short</v>
      </c>
      <c r="M26" t="str">
        <f t="shared" si="3"/>
        <v>Low Risk</v>
      </c>
    </row>
    <row r="27" spans="1:13" x14ac:dyDescent="0.3">
      <c r="A27">
        <v>36</v>
      </c>
      <c r="B27" t="s">
        <v>1010</v>
      </c>
      <c r="C27">
        <v>1</v>
      </c>
      <c r="D27" t="s">
        <v>1016</v>
      </c>
      <c r="E27" t="s">
        <v>1012</v>
      </c>
      <c r="F27" t="s">
        <v>1012</v>
      </c>
      <c r="G27" s="5">
        <v>1374</v>
      </c>
      <c r="H27">
        <v>6</v>
      </c>
      <c r="I27" t="s">
        <v>1022</v>
      </c>
      <c r="J27" t="str">
        <f t="shared" si="0"/>
        <v>Low Risk</v>
      </c>
      <c r="K27" t="str">
        <f t="shared" si="1"/>
        <v>Senior</v>
      </c>
      <c r="L27" t="str">
        <f t="shared" si="2"/>
        <v>Short</v>
      </c>
      <c r="M27" t="str">
        <f t="shared" si="3"/>
        <v>Low Risk</v>
      </c>
    </row>
    <row r="28" spans="1:13" x14ac:dyDescent="0.3">
      <c r="A28">
        <v>39</v>
      </c>
      <c r="B28" t="s">
        <v>1010</v>
      </c>
      <c r="C28">
        <v>1</v>
      </c>
      <c r="D28" t="s">
        <v>1016</v>
      </c>
      <c r="E28" t="s">
        <v>1012</v>
      </c>
      <c r="F28" t="s">
        <v>1011</v>
      </c>
      <c r="G28" s="5">
        <v>426</v>
      </c>
      <c r="H28">
        <v>6</v>
      </c>
      <c r="I28" t="s">
        <v>1023</v>
      </c>
      <c r="J28" t="str">
        <f t="shared" si="0"/>
        <v>Low Risk</v>
      </c>
      <c r="K28" t="str">
        <f t="shared" si="1"/>
        <v>Senior</v>
      </c>
      <c r="L28" t="str">
        <f t="shared" si="2"/>
        <v>Short</v>
      </c>
      <c r="M28" t="str">
        <f t="shared" si="3"/>
        <v>Low Risk</v>
      </c>
    </row>
    <row r="29" spans="1:13" x14ac:dyDescent="0.3">
      <c r="A29">
        <v>42</v>
      </c>
      <c r="B29" t="s">
        <v>1009</v>
      </c>
      <c r="C29">
        <v>2</v>
      </c>
      <c r="D29" t="s">
        <v>1017</v>
      </c>
      <c r="E29" t="s">
        <v>1008</v>
      </c>
      <c r="F29" t="s">
        <v>1008</v>
      </c>
      <c r="G29" s="5">
        <v>409</v>
      </c>
      <c r="H29">
        <v>12</v>
      </c>
      <c r="I29" t="s">
        <v>1023</v>
      </c>
      <c r="J29" t="str">
        <f t="shared" si="0"/>
        <v>Low Risk</v>
      </c>
      <c r="K29" t="str">
        <f t="shared" si="1"/>
        <v>Senior</v>
      </c>
      <c r="L29" t="str">
        <f t="shared" si="2"/>
        <v>Medium</v>
      </c>
      <c r="M29" t="str">
        <f t="shared" si="3"/>
        <v>Low Risk</v>
      </c>
    </row>
    <row r="30" spans="1:13" x14ac:dyDescent="0.3">
      <c r="A30">
        <v>34</v>
      </c>
      <c r="B30" t="s">
        <v>1010</v>
      </c>
      <c r="C30">
        <v>2</v>
      </c>
      <c r="D30" t="s">
        <v>1016</v>
      </c>
      <c r="E30" t="s">
        <v>1012</v>
      </c>
      <c r="F30" t="s">
        <v>1013</v>
      </c>
      <c r="G30" s="5">
        <v>2415</v>
      </c>
      <c r="H30">
        <v>7</v>
      </c>
      <c r="I30" t="s">
        <v>1023</v>
      </c>
      <c r="J30" t="str">
        <f t="shared" si="0"/>
        <v>Low Risk</v>
      </c>
      <c r="K30" t="str">
        <f t="shared" si="1"/>
        <v>Senior</v>
      </c>
      <c r="L30" t="str">
        <f t="shared" si="2"/>
        <v>Short</v>
      </c>
      <c r="M30" t="str">
        <f t="shared" si="3"/>
        <v>Low Risk</v>
      </c>
    </row>
    <row r="31" spans="1:13" x14ac:dyDescent="0.3">
      <c r="A31">
        <v>63</v>
      </c>
      <c r="B31" t="s">
        <v>1010</v>
      </c>
      <c r="C31">
        <v>2</v>
      </c>
      <c r="D31" t="s">
        <v>1016</v>
      </c>
      <c r="E31" t="s">
        <v>1012</v>
      </c>
      <c r="F31" t="s">
        <v>1012</v>
      </c>
      <c r="G31" s="5">
        <v>6836</v>
      </c>
      <c r="H31">
        <v>60</v>
      </c>
      <c r="I31" t="s">
        <v>1018</v>
      </c>
      <c r="J31" t="str">
        <f t="shared" si="0"/>
        <v>High Risk</v>
      </c>
      <c r="K31" t="str">
        <f t="shared" si="1"/>
        <v>Adult</v>
      </c>
      <c r="L31" t="str">
        <f t="shared" si="2"/>
        <v>Long</v>
      </c>
      <c r="M31" t="str">
        <f t="shared" si="3"/>
        <v>HighRisk</v>
      </c>
    </row>
    <row r="32" spans="1:13" x14ac:dyDescent="0.3">
      <c r="A32">
        <v>36</v>
      </c>
      <c r="B32" t="s">
        <v>1010</v>
      </c>
      <c r="C32">
        <v>2</v>
      </c>
      <c r="D32" t="s">
        <v>1016</v>
      </c>
      <c r="E32" t="s">
        <v>1008</v>
      </c>
      <c r="F32" t="s">
        <v>1013</v>
      </c>
      <c r="G32" s="5">
        <v>1913</v>
      </c>
      <c r="H32">
        <v>18</v>
      </c>
      <c r="I32" t="s">
        <v>1018</v>
      </c>
      <c r="J32" t="str">
        <f t="shared" si="0"/>
        <v>Low Risk</v>
      </c>
      <c r="K32" t="str">
        <f t="shared" si="1"/>
        <v>Senior</v>
      </c>
      <c r="L32" t="str">
        <f t="shared" si="2"/>
        <v>Medium</v>
      </c>
      <c r="M32" t="str">
        <f t="shared" si="3"/>
        <v>Low Risk</v>
      </c>
    </row>
    <row r="33" spans="1:13" x14ac:dyDescent="0.3">
      <c r="A33">
        <v>27</v>
      </c>
      <c r="B33" t="s">
        <v>1010</v>
      </c>
      <c r="C33">
        <v>2</v>
      </c>
      <c r="D33" t="s">
        <v>1016</v>
      </c>
      <c r="E33" t="s">
        <v>1012</v>
      </c>
      <c r="F33" t="s">
        <v>1012</v>
      </c>
      <c r="G33" s="5">
        <v>4020</v>
      </c>
      <c r="H33">
        <v>24</v>
      </c>
      <c r="I33" t="s">
        <v>1022</v>
      </c>
      <c r="J33" t="str">
        <f t="shared" si="0"/>
        <v>Low Risk</v>
      </c>
      <c r="K33" t="str">
        <f t="shared" si="1"/>
        <v>Young</v>
      </c>
      <c r="L33" t="str">
        <f t="shared" si="2"/>
        <v>Medium</v>
      </c>
      <c r="M33" t="str">
        <f t="shared" si="3"/>
        <v>Medium Risk</v>
      </c>
    </row>
    <row r="34" spans="1:13" x14ac:dyDescent="0.3">
      <c r="A34">
        <v>30</v>
      </c>
      <c r="B34" t="s">
        <v>1010</v>
      </c>
      <c r="C34">
        <v>2</v>
      </c>
      <c r="D34" t="s">
        <v>1016</v>
      </c>
      <c r="E34" t="s">
        <v>1013</v>
      </c>
      <c r="F34" t="s">
        <v>1013</v>
      </c>
      <c r="G34" s="5">
        <v>5866</v>
      </c>
      <c r="H34">
        <v>18</v>
      </c>
      <c r="I34" t="s">
        <v>1019</v>
      </c>
      <c r="J34" t="str">
        <f t="shared" si="0"/>
        <v>Low Risk</v>
      </c>
      <c r="K34" t="str">
        <f t="shared" si="1"/>
        <v>Senior</v>
      </c>
      <c r="L34" t="str">
        <f t="shared" si="2"/>
        <v>Medium</v>
      </c>
      <c r="M34" t="str">
        <f t="shared" si="3"/>
        <v>Medium Risk</v>
      </c>
    </row>
    <row r="35" spans="1:13" x14ac:dyDescent="0.3">
      <c r="A35">
        <v>57</v>
      </c>
      <c r="B35" t="s">
        <v>1010</v>
      </c>
      <c r="C35">
        <v>1</v>
      </c>
      <c r="D35" t="s">
        <v>1017</v>
      </c>
      <c r="E35" t="s">
        <v>1011</v>
      </c>
      <c r="F35" t="s">
        <v>1011</v>
      </c>
      <c r="G35" s="5">
        <v>1264</v>
      </c>
      <c r="H35">
        <v>12</v>
      </c>
      <c r="I35" t="s">
        <v>1018</v>
      </c>
      <c r="J35" t="str">
        <f t="shared" si="0"/>
        <v>Low Risk</v>
      </c>
      <c r="K35" t="str">
        <f t="shared" si="1"/>
        <v>Adult</v>
      </c>
      <c r="L35" t="str">
        <f t="shared" si="2"/>
        <v>Medium</v>
      </c>
      <c r="M35" t="str">
        <f t="shared" si="3"/>
        <v>Low Risk</v>
      </c>
    </row>
    <row r="36" spans="1:13" x14ac:dyDescent="0.3">
      <c r="A36">
        <v>33</v>
      </c>
      <c r="B36" t="s">
        <v>1009</v>
      </c>
      <c r="C36">
        <v>3</v>
      </c>
      <c r="D36" t="s">
        <v>1016</v>
      </c>
      <c r="E36" t="s">
        <v>1012</v>
      </c>
      <c r="F36" t="s">
        <v>1008</v>
      </c>
      <c r="G36" s="5">
        <v>1474</v>
      </c>
      <c r="H36">
        <v>12</v>
      </c>
      <c r="I36" t="s">
        <v>1022</v>
      </c>
      <c r="J36" t="str">
        <f t="shared" si="0"/>
        <v>Low Risk</v>
      </c>
      <c r="K36" t="str">
        <f t="shared" si="1"/>
        <v>Senior</v>
      </c>
      <c r="L36" t="str">
        <f t="shared" si="2"/>
        <v>Medium</v>
      </c>
      <c r="M36" t="str">
        <f t="shared" si="3"/>
        <v>Low Risk</v>
      </c>
    </row>
    <row r="37" spans="1:13" x14ac:dyDescent="0.3">
      <c r="A37">
        <v>25</v>
      </c>
      <c r="B37" t="s">
        <v>1010</v>
      </c>
      <c r="C37">
        <v>1</v>
      </c>
      <c r="D37" t="s">
        <v>1016</v>
      </c>
      <c r="E37" t="s">
        <v>1012</v>
      </c>
      <c r="F37" t="s">
        <v>1013</v>
      </c>
      <c r="G37" s="5">
        <v>4746</v>
      </c>
      <c r="H37">
        <v>45</v>
      </c>
      <c r="I37" t="s">
        <v>1023</v>
      </c>
      <c r="J37" t="str">
        <f t="shared" si="0"/>
        <v>High Risk</v>
      </c>
      <c r="K37" t="str">
        <f t="shared" si="1"/>
        <v>Young</v>
      </c>
      <c r="L37" t="str">
        <f t="shared" si="2"/>
        <v>Long</v>
      </c>
      <c r="M37" t="str">
        <f t="shared" si="3"/>
        <v>Medium Risk</v>
      </c>
    </row>
    <row r="38" spans="1:13" x14ac:dyDescent="0.3">
      <c r="A38">
        <v>31</v>
      </c>
      <c r="B38" t="s">
        <v>1010</v>
      </c>
      <c r="C38">
        <v>2</v>
      </c>
      <c r="D38" t="s">
        <v>1015</v>
      </c>
      <c r="E38" t="s">
        <v>1012</v>
      </c>
      <c r="F38" t="s">
        <v>1011</v>
      </c>
      <c r="G38" s="5">
        <v>6110</v>
      </c>
      <c r="H38">
        <v>48</v>
      </c>
      <c r="I38" t="s">
        <v>1021</v>
      </c>
      <c r="J38" t="str">
        <f t="shared" si="0"/>
        <v>High Risk</v>
      </c>
      <c r="K38" t="str">
        <f t="shared" si="1"/>
        <v>Senior</v>
      </c>
      <c r="L38" t="str">
        <f t="shared" si="2"/>
        <v>Long</v>
      </c>
      <c r="M38" t="str">
        <f t="shared" si="3"/>
        <v>HighRisk</v>
      </c>
    </row>
    <row r="39" spans="1:13" x14ac:dyDescent="0.3">
      <c r="A39">
        <v>37</v>
      </c>
      <c r="B39" t="s">
        <v>1010</v>
      </c>
      <c r="C39">
        <v>2</v>
      </c>
      <c r="D39" t="s">
        <v>1016</v>
      </c>
      <c r="E39" t="s">
        <v>1012</v>
      </c>
      <c r="F39" t="s">
        <v>1008</v>
      </c>
      <c r="G39" s="5">
        <v>2100</v>
      </c>
      <c r="H39">
        <v>18</v>
      </c>
      <c r="I39" t="s">
        <v>1023</v>
      </c>
      <c r="J39" t="str">
        <f t="shared" si="0"/>
        <v>Low Risk</v>
      </c>
      <c r="K39" t="str">
        <f t="shared" si="1"/>
        <v>Senior</v>
      </c>
      <c r="L39" t="str">
        <f t="shared" si="2"/>
        <v>Medium</v>
      </c>
      <c r="M39" t="str">
        <f t="shared" si="3"/>
        <v>Low Risk</v>
      </c>
    </row>
    <row r="40" spans="1:13" x14ac:dyDescent="0.3">
      <c r="A40">
        <v>37</v>
      </c>
      <c r="B40" t="s">
        <v>1010</v>
      </c>
      <c r="C40">
        <v>2</v>
      </c>
      <c r="D40" t="s">
        <v>1016</v>
      </c>
      <c r="E40" t="s">
        <v>1012</v>
      </c>
      <c r="F40" t="s">
        <v>1008</v>
      </c>
      <c r="G40" s="5">
        <v>1225</v>
      </c>
      <c r="H40">
        <v>10</v>
      </c>
      <c r="I40" t="s">
        <v>1020</v>
      </c>
      <c r="J40" t="str">
        <f t="shared" si="0"/>
        <v>Low Risk</v>
      </c>
      <c r="K40" t="str">
        <f t="shared" si="1"/>
        <v>Senior</v>
      </c>
      <c r="L40" t="str">
        <f t="shared" si="2"/>
        <v>Short</v>
      </c>
      <c r="M40" t="str">
        <f t="shared" si="3"/>
        <v>Low Risk</v>
      </c>
    </row>
    <row r="41" spans="1:13" x14ac:dyDescent="0.3">
      <c r="A41">
        <v>24</v>
      </c>
      <c r="B41" t="s">
        <v>1010</v>
      </c>
      <c r="C41">
        <v>2</v>
      </c>
      <c r="D41" t="s">
        <v>1016</v>
      </c>
      <c r="E41" t="s">
        <v>1012</v>
      </c>
      <c r="F41" t="s">
        <v>1013</v>
      </c>
      <c r="G41" s="5">
        <v>458</v>
      </c>
      <c r="H41">
        <v>9</v>
      </c>
      <c r="I41" t="s">
        <v>1023</v>
      </c>
      <c r="J41" t="str">
        <f t="shared" si="0"/>
        <v>Low Risk</v>
      </c>
      <c r="K41" t="str">
        <f t="shared" si="1"/>
        <v>Young</v>
      </c>
      <c r="L41" t="str">
        <f t="shared" si="2"/>
        <v>Short</v>
      </c>
      <c r="M41" t="str">
        <f t="shared" si="3"/>
        <v>Low Risk</v>
      </c>
    </row>
    <row r="42" spans="1:13" x14ac:dyDescent="0.3">
      <c r="A42">
        <v>30</v>
      </c>
      <c r="B42" t="s">
        <v>1010</v>
      </c>
      <c r="C42">
        <v>3</v>
      </c>
      <c r="D42" t="s">
        <v>1016</v>
      </c>
      <c r="E42" t="s">
        <v>1014</v>
      </c>
      <c r="F42" t="s">
        <v>1011</v>
      </c>
      <c r="G42" s="5">
        <v>2333</v>
      </c>
      <c r="H42">
        <v>30</v>
      </c>
      <c r="I42" t="s">
        <v>1023</v>
      </c>
      <c r="J42" t="str">
        <f t="shared" si="0"/>
        <v>Low Risk</v>
      </c>
      <c r="K42" t="str">
        <f t="shared" si="1"/>
        <v>Senior</v>
      </c>
      <c r="L42" t="str">
        <f t="shared" si="2"/>
        <v>Medium</v>
      </c>
      <c r="M42" t="str">
        <f t="shared" si="3"/>
        <v>Low Risk</v>
      </c>
    </row>
    <row r="43" spans="1:13" x14ac:dyDescent="0.3">
      <c r="A43">
        <v>26</v>
      </c>
      <c r="B43" t="s">
        <v>1010</v>
      </c>
      <c r="C43">
        <v>2</v>
      </c>
      <c r="D43" t="s">
        <v>1016</v>
      </c>
      <c r="E43" t="s">
        <v>1014</v>
      </c>
      <c r="F43" t="s">
        <v>1013</v>
      </c>
      <c r="G43" s="5">
        <v>1158</v>
      </c>
      <c r="H43">
        <v>12</v>
      </c>
      <c r="I43" t="s">
        <v>1023</v>
      </c>
      <c r="J43" t="str">
        <f t="shared" si="0"/>
        <v>Low Risk</v>
      </c>
      <c r="K43" t="str">
        <f t="shared" si="1"/>
        <v>Young</v>
      </c>
      <c r="L43" t="str">
        <f t="shared" si="2"/>
        <v>Medium</v>
      </c>
      <c r="M43" t="str">
        <f t="shared" si="3"/>
        <v>Low Risk</v>
      </c>
    </row>
    <row r="44" spans="1:13" x14ac:dyDescent="0.3">
      <c r="A44">
        <v>44</v>
      </c>
      <c r="B44" t="s">
        <v>1010</v>
      </c>
      <c r="C44">
        <v>1</v>
      </c>
      <c r="D44" t="s">
        <v>1016</v>
      </c>
      <c r="E44" t="s">
        <v>1012</v>
      </c>
      <c r="F44" t="s">
        <v>1013</v>
      </c>
      <c r="G44" s="5">
        <v>6204</v>
      </c>
      <c r="H44">
        <v>18</v>
      </c>
      <c r="I44" t="s">
        <v>1024</v>
      </c>
      <c r="J44" t="str">
        <f t="shared" si="0"/>
        <v>Low Risk</v>
      </c>
      <c r="K44" t="str">
        <f t="shared" si="1"/>
        <v>Senior</v>
      </c>
      <c r="L44" t="str">
        <f t="shared" si="2"/>
        <v>Medium</v>
      </c>
      <c r="M44" t="str">
        <f t="shared" si="3"/>
        <v>HighRisk</v>
      </c>
    </row>
    <row r="45" spans="1:13" x14ac:dyDescent="0.3">
      <c r="A45">
        <v>24</v>
      </c>
      <c r="B45" t="s">
        <v>1010</v>
      </c>
      <c r="C45">
        <v>2</v>
      </c>
      <c r="D45" t="s">
        <v>1017</v>
      </c>
      <c r="E45" t="s">
        <v>1013</v>
      </c>
      <c r="F45" t="s">
        <v>1012</v>
      </c>
      <c r="G45" s="5">
        <v>6187</v>
      </c>
      <c r="H45">
        <v>30</v>
      </c>
      <c r="I45" t="s">
        <v>1019</v>
      </c>
      <c r="J45" t="str">
        <f t="shared" si="0"/>
        <v>Medium Risk</v>
      </c>
      <c r="K45" t="str">
        <f t="shared" si="1"/>
        <v>Young</v>
      </c>
      <c r="L45" t="str">
        <f t="shared" si="2"/>
        <v>Medium</v>
      </c>
      <c r="M45" t="str">
        <f t="shared" si="3"/>
        <v>HighRisk</v>
      </c>
    </row>
    <row r="46" spans="1:13" x14ac:dyDescent="0.3">
      <c r="A46">
        <v>58</v>
      </c>
      <c r="B46" t="s">
        <v>1009</v>
      </c>
      <c r="C46">
        <v>1</v>
      </c>
      <c r="D46" t="s">
        <v>1015</v>
      </c>
      <c r="E46" t="s">
        <v>1012</v>
      </c>
      <c r="F46" t="s">
        <v>1012</v>
      </c>
      <c r="G46" s="5">
        <v>6143</v>
      </c>
      <c r="H46">
        <v>48</v>
      </c>
      <c r="I46" t="s">
        <v>1019</v>
      </c>
      <c r="J46" t="str">
        <f t="shared" si="0"/>
        <v>High Risk</v>
      </c>
      <c r="K46" t="str">
        <f t="shared" si="1"/>
        <v>Adult</v>
      </c>
      <c r="L46" t="str">
        <f t="shared" si="2"/>
        <v>Long</v>
      </c>
      <c r="M46" t="str">
        <f t="shared" si="3"/>
        <v>HighRisk</v>
      </c>
    </row>
    <row r="47" spans="1:13" x14ac:dyDescent="0.3">
      <c r="A47">
        <v>35</v>
      </c>
      <c r="B47" t="s">
        <v>1009</v>
      </c>
      <c r="C47">
        <v>3</v>
      </c>
      <c r="D47" t="s">
        <v>1016</v>
      </c>
      <c r="E47" t="s">
        <v>1012</v>
      </c>
      <c r="F47" t="s">
        <v>1011</v>
      </c>
      <c r="G47" s="5">
        <v>1393</v>
      </c>
      <c r="H47">
        <v>11</v>
      </c>
      <c r="I47" t="s">
        <v>1019</v>
      </c>
      <c r="J47" t="str">
        <f t="shared" si="0"/>
        <v>Low Risk</v>
      </c>
      <c r="K47" t="str">
        <f t="shared" si="1"/>
        <v>Senior</v>
      </c>
      <c r="L47" t="str">
        <f t="shared" si="2"/>
        <v>Short</v>
      </c>
      <c r="M47" t="str">
        <f t="shared" si="3"/>
        <v>Low Risk</v>
      </c>
    </row>
    <row r="48" spans="1:13" x14ac:dyDescent="0.3">
      <c r="A48">
        <v>39</v>
      </c>
      <c r="B48" t="s">
        <v>1010</v>
      </c>
      <c r="C48">
        <v>2</v>
      </c>
      <c r="D48" t="s">
        <v>1016</v>
      </c>
      <c r="E48" t="s">
        <v>1014</v>
      </c>
      <c r="F48" t="s">
        <v>1011</v>
      </c>
      <c r="G48" s="5">
        <v>2299</v>
      </c>
      <c r="H48">
        <v>36</v>
      </c>
      <c r="I48" t="s">
        <v>1023</v>
      </c>
      <c r="J48" t="str">
        <f t="shared" si="0"/>
        <v>Low Risk</v>
      </c>
      <c r="K48" t="str">
        <f t="shared" si="1"/>
        <v>Senior</v>
      </c>
      <c r="L48" t="str">
        <f t="shared" si="2"/>
        <v>Long</v>
      </c>
      <c r="M48" t="str">
        <f t="shared" si="3"/>
        <v>Low Risk</v>
      </c>
    </row>
    <row r="49" spans="1:13" x14ac:dyDescent="0.3">
      <c r="A49">
        <v>23</v>
      </c>
      <c r="B49" t="s">
        <v>1009</v>
      </c>
      <c r="C49">
        <v>0</v>
      </c>
      <c r="D49" t="s">
        <v>1017</v>
      </c>
      <c r="E49" t="s">
        <v>1014</v>
      </c>
      <c r="F49" t="s">
        <v>1012</v>
      </c>
      <c r="G49" s="5">
        <v>1352</v>
      </c>
      <c r="H49">
        <v>6</v>
      </c>
      <c r="I49" t="s">
        <v>1019</v>
      </c>
      <c r="J49" t="str">
        <f t="shared" si="0"/>
        <v>Low Risk</v>
      </c>
      <c r="K49" t="str">
        <f t="shared" si="1"/>
        <v>Young</v>
      </c>
      <c r="L49" t="str">
        <f t="shared" si="2"/>
        <v>Short</v>
      </c>
      <c r="M49" t="str">
        <f t="shared" si="3"/>
        <v>Low Risk</v>
      </c>
    </row>
    <row r="50" spans="1:13" x14ac:dyDescent="0.3">
      <c r="A50">
        <v>39</v>
      </c>
      <c r="B50" t="s">
        <v>1010</v>
      </c>
      <c r="C50">
        <v>1</v>
      </c>
      <c r="D50" t="s">
        <v>1016</v>
      </c>
      <c r="E50" t="s">
        <v>1012</v>
      </c>
      <c r="F50" t="s">
        <v>1011</v>
      </c>
      <c r="G50" s="5">
        <v>7228</v>
      </c>
      <c r="H50">
        <v>11</v>
      </c>
      <c r="I50" t="s">
        <v>1019</v>
      </c>
      <c r="J50" t="str">
        <f t="shared" si="0"/>
        <v>High Risk</v>
      </c>
      <c r="K50" t="str">
        <f t="shared" si="1"/>
        <v>Senior</v>
      </c>
      <c r="L50" t="str">
        <f t="shared" si="2"/>
        <v>Short</v>
      </c>
      <c r="M50" t="str">
        <f t="shared" si="3"/>
        <v>HighRisk</v>
      </c>
    </row>
    <row r="51" spans="1:13" x14ac:dyDescent="0.3">
      <c r="A51">
        <v>28</v>
      </c>
      <c r="B51" t="s">
        <v>1009</v>
      </c>
      <c r="C51">
        <v>2</v>
      </c>
      <c r="D51" t="s">
        <v>1016</v>
      </c>
      <c r="E51" t="s">
        <v>1013</v>
      </c>
      <c r="F51" t="s">
        <v>1011</v>
      </c>
      <c r="G51" s="5">
        <v>2073</v>
      </c>
      <c r="H51">
        <v>12</v>
      </c>
      <c r="I51" t="s">
        <v>1023</v>
      </c>
      <c r="J51" t="str">
        <f t="shared" si="0"/>
        <v>Low Risk</v>
      </c>
      <c r="K51" t="str">
        <f t="shared" si="1"/>
        <v>Young</v>
      </c>
      <c r="L51" t="str">
        <f t="shared" si="2"/>
        <v>Medium</v>
      </c>
      <c r="M51" t="str">
        <f t="shared" si="3"/>
        <v>Low Risk</v>
      </c>
    </row>
    <row r="52" spans="1:13" x14ac:dyDescent="0.3">
      <c r="A52">
        <v>29</v>
      </c>
      <c r="B52" t="s">
        <v>1010</v>
      </c>
      <c r="C52">
        <v>1</v>
      </c>
      <c r="D52" t="s">
        <v>1016</v>
      </c>
      <c r="E52" t="s">
        <v>1011</v>
      </c>
      <c r="F52" t="s">
        <v>1013</v>
      </c>
      <c r="G52" s="5">
        <v>2333</v>
      </c>
      <c r="H52">
        <v>24</v>
      </c>
      <c r="I52" t="s">
        <v>1022</v>
      </c>
      <c r="J52" t="str">
        <f t="shared" si="0"/>
        <v>Low Risk</v>
      </c>
      <c r="K52" t="str">
        <f t="shared" si="1"/>
        <v>Young</v>
      </c>
      <c r="L52" t="str">
        <f t="shared" si="2"/>
        <v>Medium</v>
      </c>
      <c r="M52" t="str">
        <f t="shared" si="3"/>
        <v>Low Risk</v>
      </c>
    </row>
    <row r="53" spans="1:13" x14ac:dyDescent="0.3">
      <c r="A53">
        <v>30</v>
      </c>
      <c r="B53" t="s">
        <v>1010</v>
      </c>
      <c r="C53">
        <v>3</v>
      </c>
      <c r="D53" t="s">
        <v>1016</v>
      </c>
      <c r="E53" t="s">
        <v>1012</v>
      </c>
      <c r="F53" t="s">
        <v>1013</v>
      </c>
      <c r="G53" s="5">
        <v>5965</v>
      </c>
      <c r="H53">
        <v>27</v>
      </c>
      <c r="I53" t="s">
        <v>1019</v>
      </c>
      <c r="J53" t="str">
        <f t="shared" si="0"/>
        <v>Medium Risk</v>
      </c>
      <c r="K53" t="str">
        <f t="shared" si="1"/>
        <v>Senior</v>
      </c>
      <c r="L53" t="str">
        <f t="shared" si="2"/>
        <v>Medium</v>
      </c>
      <c r="M53" t="str">
        <f t="shared" si="3"/>
        <v>Medium Risk</v>
      </c>
    </row>
    <row r="54" spans="1:13" x14ac:dyDescent="0.3">
      <c r="A54">
        <v>25</v>
      </c>
      <c r="B54" t="s">
        <v>1010</v>
      </c>
      <c r="C54">
        <v>2</v>
      </c>
      <c r="D54" t="s">
        <v>1016</v>
      </c>
      <c r="E54" t="s">
        <v>1012</v>
      </c>
      <c r="F54" t="s">
        <v>1011</v>
      </c>
      <c r="G54" s="5">
        <v>1262</v>
      </c>
      <c r="H54">
        <v>12</v>
      </c>
      <c r="I54" t="s">
        <v>1023</v>
      </c>
      <c r="J54" t="str">
        <f t="shared" si="0"/>
        <v>Low Risk</v>
      </c>
      <c r="K54" t="str">
        <f t="shared" si="1"/>
        <v>Young</v>
      </c>
      <c r="L54" t="str">
        <f t="shared" si="2"/>
        <v>Medium</v>
      </c>
      <c r="M54" t="str">
        <f t="shared" si="3"/>
        <v>Low Risk</v>
      </c>
    </row>
    <row r="55" spans="1:13" x14ac:dyDescent="0.3">
      <c r="A55">
        <v>31</v>
      </c>
      <c r="B55" t="s">
        <v>1010</v>
      </c>
      <c r="C55">
        <v>2</v>
      </c>
      <c r="D55" t="s">
        <v>1016</v>
      </c>
      <c r="E55" t="s">
        <v>1011</v>
      </c>
      <c r="F55" t="s">
        <v>1011</v>
      </c>
      <c r="G55" s="5">
        <v>3378</v>
      </c>
      <c r="H55">
        <v>18</v>
      </c>
      <c r="I55" t="s">
        <v>1019</v>
      </c>
      <c r="J55" t="str">
        <f t="shared" si="0"/>
        <v>Low Risk</v>
      </c>
      <c r="K55" t="str">
        <f t="shared" si="1"/>
        <v>Senior</v>
      </c>
      <c r="L55" t="str">
        <f t="shared" si="2"/>
        <v>Medium</v>
      </c>
      <c r="M55" t="str">
        <f t="shared" si="3"/>
        <v>Medium Risk</v>
      </c>
    </row>
    <row r="56" spans="1:13" x14ac:dyDescent="0.3">
      <c r="A56">
        <v>57</v>
      </c>
      <c r="B56" t="s">
        <v>1010</v>
      </c>
      <c r="C56">
        <v>2</v>
      </c>
      <c r="D56" t="s">
        <v>1015</v>
      </c>
      <c r="E56" t="s">
        <v>1012</v>
      </c>
      <c r="F56" t="s">
        <v>1013</v>
      </c>
      <c r="G56" s="5">
        <v>2225</v>
      </c>
      <c r="H56">
        <v>36</v>
      </c>
      <c r="I56" t="s">
        <v>1019</v>
      </c>
      <c r="J56" t="str">
        <f t="shared" si="0"/>
        <v>Low Risk</v>
      </c>
      <c r="K56" t="str">
        <f t="shared" si="1"/>
        <v>Adult</v>
      </c>
      <c r="L56" t="str">
        <f t="shared" si="2"/>
        <v>Long</v>
      </c>
      <c r="M56" t="str">
        <f t="shared" si="3"/>
        <v>Low Risk</v>
      </c>
    </row>
    <row r="57" spans="1:13" x14ac:dyDescent="0.3">
      <c r="A57">
        <v>26</v>
      </c>
      <c r="B57" t="s">
        <v>1010</v>
      </c>
      <c r="C57">
        <v>1</v>
      </c>
      <c r="D57" t="s">
        <v>1016</v>
      </c>
      <c r="E57" t="s">
        <v>1011</v>
      </c>
      <c r="F57" t="s">
        <v>1011</v>
      </c>
      <c r="G57" s="5">
        <v>783</v>
      </c>
      <c r="H57">
        <v>6</v>
      </c>
      <c r="I57" t="s">
        <v>1019</v>
      </c>
      <c r="J57" t="str">
        <f t="shared" si="0"/>
        <v>Low Risk</v>
      </c>
      <c r="K57" t="str">
        <f t="shared" si="1"/>
        <v>Young</v>
      </c>
      <c r="L57" t="str">
        <f t="shared" si="2"/>
        <v>Short</v>
      </c>
      <c r="M57" t="str">
        <f t="shared" si="3"/>
        <v>Low Risk</v>
      </c>
    </row>
    <row r="58" spans="1:13" x14ac:dyDescent="0.3">
      <c r="A58">
        <v>52</v>
      </c>
      <c r="B58" t="s">
        <v>1010</v>
      </c>
      <c r="C58">
        <v>3</v>
      </c>
      <c r="D58" t="s">
        <v>1016</v>
      </c>
      <c r="E58" t="s">
        <v>1011</v>
      </c>
      <c r="F58" t="s">
        <v>1013</v>
      </c>
      <c r="G58" s="5">
        <v>6468</v>
      </c>
      <c r="H58">
        <v>12</v>
      </c>
      <c r="I58" t="s">
        <v>1023</v>
      </c>
      <c r="J58" t="str">
        <f t="shared" si="0"/>
        <v>Low Risk</v>
      </c>
      <c r="K58" t="str">
        <f t="shared" si="1"/>
        <v>Adult</v>
      </c>
      <c r="L58" t="str">
        <f t="shared" si="2"/>
        <v>Medium</v>
      </c>
      <c r="M58" t="str">
        <f t="shared" si="3"/>
        <v>HighRisk</v>
      </c>
    </row>
    <row r="59" spans="1:13" x14ac:dyDescent="0.3">
      <c r="A59">
        <v>31</v>
      </c>
      <c r="B59" t="s">
        <v>1009</v>
      </c>
      <c r="C59">
        <v>2</v>
      </c>
      <c r="D59" t="s">
        <v>1016</v>
      </c>
      <c r="E59" t="s">
        <v>1012</v>
      </c>
      <c r="F59" t="s">
        <v>1011</v>
      </c>
      <c r="G59" s="5">
        <v>9566</v>
      </c>
      <c r="H59">
        <v>36</v>
      </c>
      <c r="I59" t="s">
        <v>1023</v>
      </c>
      <c r="J59" t="str">
        <f t="shared" si="0"/>
        <v>High Risk</v>
      </c>
      <c r="K59" t="str">
        <f t="shared" si="1"/>
        <v>Senior</v>
      </c>
      <c r="L59" t="str">
        <f t="shared" si="2"/>
        <v>Long</v>
      </c>
      <c r="M59" t="str">
        <f t="shared" si="3"/>
        <v>HighRisk</v>
      </c>
    </row>
    <row r="60" spans="1:13" x14ac:dyDescent="0.3">
      <c r="A60">
        <v>23</v>
      </c>
      <c r="B60" t="s">
        <v>1009</v>
      </c>
      <c r="C60">
        <v>3</v>
      </c>
      <c r="D60" t="s">
        <v>1016</v>
      </c>
      <c r="E60" t="s">
        <v>1012</v>
      </c>
      <c r="F60" t="s">
        <v>1008</v>
      </c>
      <c r="G60" s="5">
        <v>1961</v>
      </c>
      <c r="H60">
        <v>18</v>
      </c>
      <c r="I60" t="s">
        <v>1019</v>
      </c>
      <c r="J60" t="str">
        <f t="shared" si="0"/>
        <v>Low Risk</v>
      </c>
      <c r="K60" t="str">
        <f t="shared" si="1"/>
        <v>Young</v>
      </c>
      <c r="L60" t="str">
        <f t="shared" si="2"/>
        <v>Medium</v>
      </c>
      <c r="M60" t="str">
        <f t="shared" si="3"/>
        <v>Low Risk</v>
      </c>
    </row>
    <row r="61" spans="1:13" x14ac:dyDescent="0.3">
      <c r="A61">
        <v>23</v>
      </c>
      <c r="B61" t="s">
        <v>1009</v>
      </c>
      <c r="C61">
        <v>1</v>
      </c>
      <c r="D61" t="s">
        <v>1017</v>
      </c>
      <c r="E61" t="s">
        <v>1012</v>
      </c>
      <c r="F61" t="s">
        <v>1012</v>
      </c>
      <c r="G61" s="5">
        <v>6229</v>
      </c>
      <c r="H61">
        <v>36</v>
      </c>
      <c r="I61" t="s">
        <v>1022</v>
      </c>
      <c r="J61" t="str">
        <f t="shared" si="0"/>
        <v>Medium Risk</v>
      </c>
      <c r="K61" t="str">
        <f t="shared" si="1"/>
        <v>Young</v>
      </c>
      <c r="L61" t="str">
        <f t="shared" si="2"/>
        <v>Long</v>
      </c>
      <c r="M61" t="str">
        <f t="shared" si="3"/>
        <v>HighRisk</v>
      </c>
    </row>
    <row r="62" spans="1:13" x14ac:dyDescent="0.3">
      <c r="A62">
        <v>27</v>
      </c>
      <c r="B62" t="s">
        <v>1010</v>
      </c>
      <c r="C62">
        <v>2</v>
      </c>
      <c r="D62" t="s">
        <v>1016</v>
      </c>
      <c r="E62" t="s">
        <v>1012</v>
      </c>
      <c r="F62" t="s">
        <v>1013</v>
      </c>
      <c r="G62" s="5">
        <v>1391</v>
      </c>
      <c r="H62">
        <v>9</v>
      </c>
      <c r="I62" t="s">
        <v>1018</v>
      </c>
      <c r="J62" t="str">
        <f t="shared" si="0"/>
        <v>Low Risk</v>
      </c>
      <c r="K62" t="str">
        <f t="shared" si="1"/>
        <v>Young</v>
      </c>
      <c r="L62" t="str">
        <f t="shared" si="2"/>
        <v>Short</v>
      </c>
      <c r="M62" t="str">
        <f t="shared" si="3"/>
        <v>Low Risk</v>
      </c>
    </row>
    <row r="63" spans="1:13" x14ac:dyDescent="0.3">
      <c r="A63">
        <v>50</v>
      </c>
      <c r="B63" t="s">
        <v>1010</v>
      </c>
      <c r="C63">
        <v>2</v>
      </c>
      <c r="D63" t="s">
        <v>1016</v>
      </c>
      <c r="E63" t="s">
        <v>1011</v>
      </c>
      <c r="F63" t="s">
        <v>1013</v>
      </c>
      <c r="G63" s="5">
        <v>1537</v>
      </c>
      <c r="H63">
        <v>15</v>
      </c>
      <c r="I63" t="s">
        <v>1023</v>
      </c>
      <c r="J63" t="str">
        <f t="shared" si="0"/>
        <v>Low Risk</v>
      </c>
      <c r="K63" t="str">
        <f t="shared" si="1"/>
        <v>Senior</v>
      </c>
      <c r="L63" t="str">
        <f t="shared" si="2"/>
        <v>Medium</v>
      </c>
      <c r="M63" t="str">
        <f t="shared" si="3"/>
        <v>Low Risk</v>
      </c>
    </row>
    <row r="64" spans="1:13" x14ac:dyDescent="0.3">
      <c r="A64">
        <v>61</v>
      </c>
      <c r="B64" t="s">
        <v>1010</v>
      </c>
      <c r="C64">
        <v>3</v>
      </c>
      <c r="D64" t="s">
        <v>1015</v>
      </c>
      <c r="E64" t="s">
        <v>1012</v>
      </c>
      <c r="F64" t="s">
        <v>1013</v>
      </c>
      <c r="G64" s="5">
        <v>1953</v>
      </c>
      <c r="H64">
        <v>36</v>
      </c>
      <c r="I64" t="s">
        <v>1018</v>
      </c>
      <c r="J64" t="str">
        <f t="shared" si="0"/>
        <v>Low Risk</v>
      </c>
      <c r="K64" t="str">
        <f t="shared" si="1"/>
        <v>Adult</v>
      </c>
      <c r="L64" t="str">
        <f t="shared" si="2"/>
        <v>Long</v>
      </c>
      <c r="M64" t="str">
        <f t="shared" si="3"/>
        <v>Low Risk</v>
      </c>
    </row>
    <row r="65" spans="1:13" x14ac:dyDescent="0.3">
      <c r="A65">
        <v>25</v>
      </c>
      <c r="B65" t="s">
        <v>1010</v>
      </c>
      <c r="C65">
        <v>2</v>
      </c>
      <c r="D65" t="s">
        <v>1016</v>
      </c>
      <c r="E65" t="s">
        <v>1012</v>
      </c>
      <c r="F65" t="s">
        <v>1013</v>
      </c>
      <c r="G65" s="5">
        <v>14421</v>
      </c>
      <c r="H65">
        <v>48</v>
      </c>
      <c r="I65" t="s">
        <v>1018</v>
      </c>
      <c r="J65" t="str">
        <f t="shared" si="0"/>
        <v>High Risk</v>
      </c>
      <c r="K65" t="str">
        <f t="shared" si="1"/>
        <v>Young</v>
      </c>
      <c r="L65" t="str">
        <f t="shared" si="2"/>
        <v>Long</v>
      </c>
      <c r="M65" t="str">
        <f t="shared" si="3"/>
        <v>HighRisk</v>
      </c>
    </row>
    <row r="66" spans="1:13" x14ac:dyDescent="0.3">
      <c r="A66">
        <v>26</v>
      </c>
      <c r="B66" t="s">
        <v>1009</v>
      </c>
      <c r="C66">
        <v>2</v>
      </c>
      <c r="D66" t="s">
        <v>1016</v>
      </c>
      <c r="E66" t="s">
        <v>1012</v>
      </c>
      <c r="F66" t="s">
        <v>1011</v>
      </c>
      <c r="G66" s="5">
        <v>3181</v>
      </c>
      <c r="H66">
        <v>24</v>
      </c>
      <c r="I66" t="s">
        <v>1023</v>
      </c>
      <c r="J66" t="str">
        <f t="shared" si="0"/>
        <v>Low Risk</v>
      </c>
      <c r="K66" t="str">
        <f t="shared" si="1"/>
        <v>Young</v>
      </c>
      <c r="L66" t="str">
        <f t="shared" si="2"/>
        <v>Medium</v>
      </c>
      <c r="M66" t="str">
        <f t="shared" si="3"/>
        <v>Medium Risk</v>
      </c>
    </row>
    <row r="67" spans="1:13" x14ac:dyDescent="0.3">
      <c r="A67">
        <v>48</v>
      </c>
      <c r="B67" t="s">
        <v>1010</v>
      </c>
      <c r="C67">
        <v>2</v>
      </c>
      <c r="D67" t="s">
        <v>1016</v>
      </c>
      <c r="E67" t="s">
        <v>1011</v>
      </c>
      <c r="F67" t="s">
        <v>1011</v>
      </c>
      <c r="G67" s="5">
        <v>5190</v>
      </c>
      <c r="H67">
        <v>27</v>
      </c>
      <c r="I67" t="s">
        <v>1024</v>
      </c>
      <c r="J67" t="str">
        <f t="shared" ref="J67:J130" si="4">IF(OR(G67&gt;7000,H67&gt;36),"High Risk",
IF(AND(G67&gt;4000,H67&gt;24),"Medium Risk",
"Low Risk"))</f>
        <v>Medium Risk</v>
      </c>
      <c r="K67" t="str">
        <f t="shared" ref="K67:K130" si="5">IF(A67&lt;30,"Young",IF(A67&gt;50,"Adult","Senior"))</f>
        <v>Senior</v>
      </c>
      <c r="L67" t="str">
        <f t="shared" ref="L67:L130" si="6">IF(H67&lt;12,"Short",IF(H67&lt;36,"Medium","Long"))</f>
        <v>Medium</v>
      </c>
      <c r="M67" t="str">
        <f t="shared" ref="M67:M130" si="7">IF(G67&lt;3000,"Low Risk",IF(G67&lt;=6000,"Medium Risk","HighRisk"))</f>
        <v>Medium Risk</v>
      </c>
    </row>
    <row r="68" spans="1:13" x14ac:dyDescent="0.3">
      <c r="A68">
        <v>29</v>
      </c>
      <c r="B68" t="s">
        <v>1009</v>
      </c>
      <c r="C68">
        <v>2</v>
      </c>
      <c r="D68" t="s">
        <v>1016</v>
      </c>
      <c r="E68" t="s">
        <v>1012</v>
      </c>
      <c r="F68" t="s">
        <v>1011</v>
      </c>
      <c r="G68" s="5">
        <v>2171</v>
      </c>
      <c r="H68">
        <v>12</v>
      </c>
      <c r="I68" t="s">
        <v>1023</v>
      </c>
      <c r="J68" t="str">
        <f t="shared" si="4"/>
        <v>Low Risk</v>
      </c>
      <c r="K68" t="str">
        <f t="shared" si="5"/>
        <v>Young</v>
      </c>
      <c r="L68" t="str">
        <f t="shared" si="6"/>
        <v>Medium</v>
      </c>
      <c r="M68" t="str">
        <f t="shared" si="7"/>
        <v>Low Risk</v>
      </c>
    </row>
    <row r="69" spans="1:13" x14ac:dyDescent="0.3">
      <c r="A69">
        <v>22</v>
      </c>
      <c r="B69" t="s">
        <v>1010</v>
      </c>
      <c r="C69">
        <v>2</v>
      </c>
      <c r="D69" t="s">
        <v>1016</v>
      </c>
      <c r="E69" t="s">
        <v>1008</v>
      </c>
      <c r="F69" t="s">
        <v>1013</v>
      </c>
      <c r="G69" s="5">
        <v>1007</v>
      </c>
      <c r="H69">
        <v>12</v>
      </c>
      <c r="I69" t="s">
        <v>1019</v>
      </c>
      <c r="J69" t="str">
        <f t="shared" si="4"/>
        <v>Low Risk</v>
      </c>
      <c r="K69" t="str">
        <f t="shared" si="5"/>
        <v>Young</v>
      </c>
      <c r="L69" t="str">
        <f t="shared" si="6"/>
        <v>Medium</v>
      </c>
      <c r="M69" t="str">
        <f t="shared" si="7"/>
        <v>Low Risk</v>
      </c>
    </row>
    <row r="70" spans="1:13" x14ac:dyDescent="0.3">
      <c r="A70">
        <v>37</v>
      </c>
      <c r="B70" t="s">
        <v>1010</v>
      </c>
      <c r="C70">
        <v>2</v>
      </c>
      <c r="D70" t="s">
        <v>1015</v>
      </c>
      <c r="E70" t="s">
        <v>1012</v>
      </c>
      <c r="F70" t="s">
        <v>1011</v>
      </c>
      <c r="G70" s="5">
        <v>1819</v>
      </c>
      <c r="H70">
        <v>36</v>
      </c>
      <c r="I70" t="s">
        <v>1021</v>
      </c>
      <c r="J70" t="str">
        <f t="shared" si="4"/>
        <v>Low Risk</v>
      </c>
      <c r="K70" t="str">
        <f t="shared" si="5"/>
        <v>Senior</v>
      </c>
      <c r="L70" t="str">
        <f t="shared" si="6"/>
        <v>Long</v>
      </c>
      <c r="M70" t="str">
        <f t="shared" si="7"/>
        <v>Low Risk</v>
      </c>
    </row>
    <row r="71" spans="1:13" x14ac:dyDescent="0.3">
      <c r="A71">
        <v>25</v>
      </c>
      <c r="B71" t="s">
        <v>1009</v>
      </c>
      <c r="C71">
        <v>2</v>
      </c>
      <c r="D71" t="s">
        <v>1016</v>
      </c>
      <c r="E71" t="s">
        <v>1011</v>
      </c>
      <c r="F71" t="s">
        <v>1011</v>
      </c>
      <c r="G71" s="5">
        <v>2394</v>
      </c>
      <c r="H71">
        <v>36</v>
      </c>
      <c r="I71" t="s">
        <v>1023</v>
      </c>
      <c r="J71" t="str">
        <f t="shared" si="4"/>
        <v>Low Risk</v>
      </c>
      <c r="K71" t="str">
        <f t="shared" si="5"/>
        <v>Young</v>
      </c>
      <c r="L71" t="str">
        <f t="shared" si="6"/>
        <v>Long</v>
      </c>
      <c r="M71" t="str">
        <f t="shared" si="7"/>
        <v>Low Risk</v>
      </c>
    </row>
    <row r="72" spans="1:13" x14ac:dyDescent="0.3">
      <c r="A72">
        <v>30</v>
      </c>
      <c r="B72" t="s">
        <v>1009</v>
      </c>
      <c r="C72">
        <v>2</v>
      </c>
      <c r="D72" t="s">
        <v>1016</v>
      </c>
      <c r="E72" t="s">
        <v>1012</v>
      </c>
      <c r="F72" t="s">
        <v>1011</v>
      </c>
      <c r="G72" s="5">
        <v>8133</v>
      </c>
      <c r="H72">
        <v>36</v>
      </c>
      <c r="I72" t="s">
        <v>1019</v>
      </c>
      <c r="J72" t="str">
        <f t="shared" si="4"/>
        <v>High Risk</v>
      </c>
      <c r="K72" t="str">
        <f t="shared" si="5"/>
        <v>Senior</v>
      </c>
      <c r="L72" t="str">
        <f t="shared" si="6"/>
        <v>Long</v>
      </c>
      <c r="M72" t="str">
        <f t="shared" si="7"/>
        <v>HighRisk</v>
      </c>
    </row>
    <row r="73" spans="1:13" x14ac:dyDescent="0.3">
      <c r="A73">
        <v>46</v>
      </c>
      <c r="B73" t="s">
        <v>1010</v>
      </c>
      <c r="C73">
        <v>1</v>
      </c>
      <c r="D73" t="s">
        <v>1017</v>
      </c>
      <c r="E73" t="s">
        <v>1011</v>
      </c>
      <c r="F73" t="s">
        <v>1011</v>
      </c>
      <c r="G73" s="5">
        <v>730</v>
      </c>
      <c r="H73">
        <v>7</v>
      </c>
      <c r="I73" t="s">
        <v>1023</v>
      </c>
      <c r="J73" t="str">
        <f t="shared" si="4"/>
        <v>Low Risk</v>
      </c>
      <c r="K73" t="str">
        <f t="shared" si="5"/>
        <v>Senior</v>
      </c>
      <c r="L73" t="str">
        <f t="shared" si="6"/>
        <v>Short</v>
      </c>
      <c r="M73" t="str">
        <f t="shared" si="7"/>
        <v>Low Risk</v>
      </c>
    </row>
    <row r="74" spans="1:13" x14ac:dyDescent="0.3">
      <c r="A74">
        <v>51</v>
      </c>
      <c r="B74" t="s">
        <v>1010</v>
      </c>
      <c r="C74">
        <v>3</v>
      </c>
      <c r="D74" t="s">
        <v>1015</v>
      </c>
      <c r="E74" t="s">
        <v>1012</v>
      </c>
      <c r="F74" t="s">
        <v>1012</v>
      </c>
      <c r="G74" s="5">
        <v>1164</v>
      </c>
      <c r="H74">
        <v>8</v>
      </c>
      <c r="I74" t="s">
        <v>1025</v>
      </c>
      <c r="J74" t="str">
        <f t="shared" si="4"/>
        <v>Low Risk</v>
      </c>
      <c r="K74" t="str">
        <f t="shared" si="5"/>
        <v>Adult</v>
      </c>
      <c r="L74" t="str">
        <f t="shared" si="6"/>
        <v>Short</v>
      </c>
      <c r="M74" t="str">
        <f t="shared" si="7"/>
        <v>Low Risk</v>
      </c>
    </row>
    <row r="75" spans="1:13" x14ac:dyDescent="0.3">
      <c r="A75">
        <v>41</v>
      </c>
      <c r="B75" t="s">
        <v>1009</v>
      </c>
      <c r="C75">
        <v>1</v>
      </c>
      <c r="D75" t="s">
        <v>1016</v>
      </c>
      <c r="E75" t="s">
        <v>1012</v>
      </c>
      <c r="F75" t="s">
        <v>1013</v>
      </c>
      <c r="G75" s="5">
        <v>5954</v>
      </c>
      <c r="H75">
        <v>42</v>
      </c>
      <c r="I75" t="s">
        <v>1018</v>
      </c>
      <c r="J75" t="str">
        <f t="shared" si="4"/>
        <v>High Risk</v>
      </c>
      <c r="K75" t="str">
        <f t="shared" si="5"/>
        <v>Senior</v>
      </c>
      <c r="L75" t="str">
        <f t="shared" si="6"/>
        <v>Long</v>
      </c>
      <c r="M75" t="str">
        <f t="shared" si="7"/>
        <v>Medium Risk</v>
      </c>
    </row>
    <row r="76" spans="1:13" x14ac:dyDescent="0.3">
      <c r="A76">
        <v>40</v>
      </c>
      <c r="B76" t="s">
        <v>1010</v>
      </c>
      <c r="C76">
        <v>3</v>
      </c>
      <c r="D76" t="s">
        <v>1016</v>
      </c>
      <c r="E76" t="s">
        <v>1011</v>
      </c>
      <c r="F76" t="s">
        <v>1012</v>
      </c>
      <c r="G76" s="5">
        <v>1977</v>
      </c>
      <c r="H76">
        <v>36</v>
      </c>
      <c r="I76" t="s">
        <v>1021</v>
      </c>
      <c r="J76" t="str">
        <f t="shared" si="4"/>
        <v>Low Risk</v>
      </c>
      <c r="K76" t="str">
        <f t="shared" si="5"/>
        <v>Senior</v>
      </c>
      <c r="L76" t="str">
        <f t="shared" si="6"/>
        <v>Long</v>
      </c>
      <c r="M76" t="str">
        <f t="shared" si="7"/>
        <v>Low Risk</v>
      </c>
    </row>
    <row r="77" spans="1:13" x14ac:dyDescent="0.3">
      <c r="A77">
        <v>66</v>
      </c>
      <c r="B77" t="s">
        <v>1010</v>
      </c>
      <c r="C77">
        <v>3</v>
      </c>
      <c r="D77" t="s">
        <v>1015</v>
      </c>
      <c r="E77" t="s">
        <v>1012</v>
      </c>
      <c r="F77" t="s">
        <v>1012</v>
      </c>
      <c r="G77" s="5">
        <v>1526</v>
      </c>
      <c r="H77">
        <v>12</v>
      </c>
      <c r="I77" t="s">
        <v>1019</v>
      </c>
      <c r="J77" t="str">
        <f t="shared" si="4"/>
        <v>Low Risk</v>
      </c>
      <c r="K77" t="str">
        <f t="shared" si="5"/>
        <v>Adult</v>
      </c>
      <c r="L77" t="str">
        <f t="shared" si="6"/>
        <v>Medium</v>
      </c>
      <c r="M77" t="str">
        <f t="shared" si="7"/>
        <v>Low Risk</v>
      </c>
    </row>
    <row r="78" spans="1:13" x14ac:dyDescent="0.3">
      <c r="A78">
        <v>34</v>
      </c>
      <c r="B78" t="s">
        <v>1010</v>
      </c>
      <c r="C78">
        <v>2</v>
      </c>
      <c r="D78" t="s">
        <v>1016</v>
      </c>
      <c r="E78" t="s">
        <v>1012</v>
      </c>
      <c r="F78" t="s">
        <v>1012</v>
      </c>
      <c r="G78" s="5">
        <v>3965</v>
      </c>
      <c r="H78">
        <v>42</v>
      </c>
      <c r="I78" t="s">
        <v>1023</v>
      </c>
      <c r="J78" t="str">
        <f t="shared" si="4"/>
        <v>High Risk</v>
      </c>
      <c r="K78" t="str">
        <f t="shared" si="5"/>
        <v>Senior</v>
      </c>
      <c r="L78" t="str">
        <f t="shared" si="6"/>
        <v>Long</v>
      </c>
      <c r="M78" t="str">
        <f t="shared" si="7"/>
        <v>Medium Risk</v>
      </c>
    </row>
    <row r="79" spans="1:13" x14ac:dyDescent="0.3">
      <c r="A79">
        <v>51</v>
      </c>
      <c r="B79" t="s">
        <v>1010</v>
      </c>
      <c r="C79">
        <v>2</v>
      </c>
      <c r="D79" t="s">
        <v>1016</v>
      </c>
      <c r="E79" t="s">
        <v>1012</v>
      </c>
      <c r="F79" t="s">
        <v>1013</v>
      </c>
      <c r="G79" s="5">
        <v>4771</v>
      </c>
      <c r="H79">
        <v>11</v>
      </c>
      <c r="I79" t="s">
        <v>1023</v>
      </c>
      <c r="J79" t="str">
        <f t="shared" si="4"/>
        <v>Low Risk</v>
      </c>
      <c r="K79" t="str">
        <f t="shared" si="5"/>
        <v>Adult</v>
      </c>
      <c r="L79" t="str">
        <f t="shared" si="6"/>
        <v>Short</v>
      </c>
      <c r="M79" t="str">
        <f t="shared" si="7"/>
        <v>Medium Risk</v>
      </c>
    </row>
    <row r="80" spans="1:13" x14ac:dyDescent="0.3">
      <c r="A80">
        <v>39</v>
      </c>
      <c r="B80" t="s">
        <v>1010</v>
      </c>
      <c r="C80">
        <v>1</v>
      </c>
      <c r="D80" t="s">
        <v>1016</v>
      </c>
      <c r="E80" t="s">
        <v>1011</v>
      </c>
      <c r="F80" t="s">
        <v>1011</v>
      </c>
      <c r="G80" s="5">
        <v>9436</v>
      </c>
      <c r="H80">
        <v>54</v>
      </c>
      <c r="I80" t="s">
        <v>1019</v>
      </c>
      <c r="J80" t="str">
        <f t="shared" si="4"/>
        <v>High Risk</v>
      </c>
      <c r="K80" t="str">
        <f t="shared" si="5"/>
        <v>Senior</v>
      </c>
      <c r="L80" t="str">
        <f t="shared" si="6"/>
        <v>Long</v>
      </c>
      <c r="M80" t="str">
        <f t="shared" si="7"/>
        <v>HighRisk</v>
      </c>
    </row>
    <row r="81" spans="1:13" x14ac:dyDescent="0.3">
      <c r="A81">
        <v>22</v>
      </c>
      <c r="B81" t="s">
        <v>1010</v>
      </c>
      <c r="C81">
        <v>2</v>
      </c>
      <c r="D81" t="s">
        <v>1016</v>
      </c>
      <c r="E81" t="s">
        <v>1012</v>
      </c>
      <c r="F81" t="s">
        <v>1013</v>
      </c>
      <c r="G81" s="5">
        <v>3832</v>
      </c>
      <c r="H81">
        <v>30</v>
      </c>
      <c r="I81" t="s">
        <v>1022</v>
      </c>
      <c r="J81" t="str">
        <f t="shared" si="4"/>
        <v>Low Risk</v>
      </c>
      <c r="K81" t="str">
        <f t="shared" si="5"/>
        <v>Young</v>
      </c>
      <c r="L81" t="str">
        <f t="shared" si="6"/>
        <v>Medium</v>
      </c>
      <c r="M81" t="str">
        <f t="shared" si="7"/>
        <v>Medium Risk</v>
      </c>
    </row>
    <row r="82" spans="1:13" x14ac:dyDescent="0.3">
      <c r="A82">
        <v>44</v>
      </c>
      <c r="B82" t="s">
        <v>1009</v>
      </c>
      <c r="C82">
        <v>2</v>
      </c>
      <c r="D82" t="s">
        <v>1016</v>
      </c>
      <c r="E82" t="s">
        <v>1011</v>
      </c>
      <c r="F82" t="s">
        <v>1011</v>
      </c>
      <c r="G82" s="5">
        <v>5943</v>
      </c>
      <c r="H82">
        <v>24</v>
      </c>
      <c r="I82" t="s">
        <v>1023</v>
      </c>
      <c r="J82" t="str">
        <f t="shared" si="4"/>
        <v>Low Risk</v>
      </c>
      <c r="K82" t="str">
        <f t="shared" si="5"/>
        <v>Senior</v>
      </c>
      <c r="L82" t="str">
        <f t="shared" si="6"/>
        <v>Medium</v>
      </c>
      <c r="M82" t="str">
        <f t="shared" si="7"/>
        <v>Medium Risk</v>
      </c>
    </row>
    <row r="83" spans="1:13" x14ac:dyDescent="0.3">
      <c r="A83">
        <v>47</v>
      </c>
      <c r="B83" t="s">
        <v>1010</v>
      </c>
      <c r="C83">
        <v>2</v>
      </c>
      <c r="D83" t="s">
        <v>1016</v>
      </c>
      <c r="E83" t="s">
        <v>1014</v>
      </c>
      <c r="F83" t="s">
        <v>1011</v>
      </c>
      <c r="G83" s="5">
        <v>1213</v>
      </c>
      <c r="H83">
        <v>15</v>
      </c>
      <c r="I83" t="s">
        <v>1023</v>
      </c>
      <c r="J83" t="str">
        <f t="shared" si="4"/>
        <v>Low Risk</v>
      </c>
      <c r="K83" t="str">
        <f t="shared" si="5"/>
        <v>Senior</v>
      </c>
      <c r="L83" t="str">
        <f t="shared" si="6"/>
        <v>Medium</v>
      </c>
      <c r="M83" t="str">
        <f t="shared" si="7"/>
        <v>Low Risk</v>
      </c>
    </row>
    <row r="84" spans="1:13" x14ac:dyDescent="0.3">
      <c r="A84">
        <v>24</v>
      </c>
      <c r="B84" t="s">
        <v>1009</v>
      </c>
      <c r="C84">
        <v>1</v>
      </c>
      <c r="D84" t="s">
        <v>1017</v>
      </c>
      <c r="E84" t="s">
        <v>1013</v>
      </c>
      <c r="F84" t="s">
        <v>1011</v>
      </c>
      <c r="G84" s="5">
        <v>1568</v>
      </c>
      <c r="H84">
        <v>18</v>
      </c>
      <c r="I84" t="s">
        <v>1018</v>
      </c>
      <c r="J84" t="str">
        <f t="shared" si="4"/>
        <v>Low Risk</v>
      </c>
      <c r="K84" t="str">
        <f t="shared" si="5"/>
        <v>Young</v>
      </c>
      <c r="L84" t="str">
        <f t="shared" si="6"/>
        <v>Medium</v>
      </c>
      <c r="M84" t="str">
        <f t="shared" si="7"/>
        <v>Low Risk</v>
      </c>
    </row>
    <row r="85" spans="1:13" x14ac:dyDescent="0.3">
      <c r="A85">
        <v>58</v>
      </c>
      <c r="B85" t="s">
        <v>1009</v>
      </c>
      <c r="C85">
        <v>1</v>
      </c>
      <c r="D85" t="s">
        <v>1016</v>
      </c>
      <c r="E85" t="s">
        <v>1012</v>
      </c>
      <c r="F85" t="s">
        <v>1012</v>
      </c>
      <c r="G85" s="5">
        <v>1755</v>
      </c>
      <c r="H85">
        <v>24</v>
      </c>
      <c r="I85" t="s">
        <v>1025</v>
      </c>
      <c r="J85" t="str">
        <f t="shared" si="4"/>
        <v>Low Risk</v>
      </c>
      <c r="K85" t="str">
        <f t="shared" si="5"/>
        <v>Adult</v>
      </c>
      <c r="L85" t="str">
        <f t="shared" si="6"/>
        <v>Medium</v>
      </c>
      <c r="M85" t="str">
        <f t="shared" si="7"/>
        <v>Low Risk</v>
      </c>
    </row>
    <row r="86" spans="1:13" x14ac:dyDescent="0.3">
      <c r="A86">
        <v>52</v>
      </c>
      <c r="B86" t="s">
        <v>1010</v>
      </c>
      <c r="C86">
        <v>1</v>
      </c>
      <c r="D86" t="s">
        <v>1016</v>
      </c>
      <c r="E86" t="s">
        <v>1012</v>
      </c>
      <c r="F86" t="s">
        <v>1012</v>
      </c>
      <c r="G86" s="5">
        <v>2315</v>
      </c>
      <c r="H86">
        <v>10</v>
      </c>
      <c r="I86" t="s">
        <v>1023</v>
      </c>
      <c r="J86" t="str">
        <f t="shared" si="4"/>
        <v>Low Risk</v>
      </c>
      <c r="K86" t="str">
        <f t="shared" si="5"/>
        <v>Adult</v>
      </c>
      <c r="L86" t="str">
        <f t="shared" si="6"/>
        <v>Short</v>
      </c>
      <c r="M86" t="str">
        <f t="shared" si="7"/>
        <v>Low Risk</v>
      </c>
    </row>
    <row r="87" spans="1:13" x14ac:dyDescent="0.3">
      <c r="A87">
        <v>29</v>
      </c>
      <c r="B87" t="s">
        <v>1009</v>
      </c>
      <c r="C87">
        <v>3</v>
      </c>
      <c r="D87" t="s">
        <v>1016</v>
      </c>
      <c r="E87" t="s">
        <v>1012</v>
      </c>
      <c r="F87" t="s">
        <v>1011</v>
      </c>
      <c r="G87" s="5">
        <v>1412</v>
      </c>
      <c r="H87">
        <v>12</v>
      </c>
      <c r="I87" t="s">
        <v>1018</v>
      </c>
      <c r="J87" t="str">
        <f t="shared" si="4"/>
        <v>Low Risk</v>
      </c>
      <c r="K87" t="str">
        <f t="shared" si="5"/>
        <v>Young</v>
      </c>
      <c r="L87" t="str">
        <f t="shared" si="6"/>
        <v>Medium</v>
      </c>
      <c r="M87" t="str">
        <f t="shared" si="7"/>
        <v>Low Risk</v>
      </c>
    </row>
    <row r="88" spans="1:13" x14ac:dyDescent="0.3">
      <c r="A88">
        <v>27</v>
      </c>
      <c r="B88" t="s">
        <v>1009</v>
      </c>
      <c r="C88">
        <v>2</v>
      </c>
      <c r="D88" t="s">
        <v>1016</v>
      </c>
      <c r="E88" t="s">
        <v>1012</v>
      </c>
      <c r="F88" t="s">
        <v>1013</v>
      </c>
      <c r="G88" s="5">
        <v>1295</v>
      </c>
      <c r="H88">
        <v>18</v>
      </c>
      <c r="I88" t="s">
        <v>1022</v>
      </c>
      <c r="J88" t="str">
        <f t="shared" si="4"/>
        <v>Low Risk</v>
      </c>
      <c r="K88" t="str">
        <f t="shared" si="5"/>
        <v>Young</v>
      </c>
      <c r="L88" t="str">
        <f t="shared" si="6"/>
        <v>Medium</v>
      </c>
      <c r="M88" t="str">
        <f t="shared" si="7"/>
        <v>Low Risk</v>
      </c>
    </row>
    <row r="89" spans="1:13" x14ac:dyDescent="0.3">
      <c r="A89">
        <v>47</v>
      </c>
      <c r="B89" t="s">
        <v>1010</v>
      </c>
      <c r="C89">
        <v>2</v>
      </c>
      <c r="D89" t="s">
        <v>1015</v>
      </c>
      <c r="E89" t="s">
        <v>1013</v>
      </c>
      <c r="F89" t="s">
        <v>1013</v>
      </c>
      <c r="G89" s="5">
        <v>12612</v>
      </c>
      <c r="H89">
        <v>36</v>
      </c>
      <c r="I89" t="s">
        <v>1021</v>
      </c>
      <c r="J89" t="str">
        <f t="shared" si="4"/>
        <v>High Risk</v>
      </c>
      <c r="K89" t="str">
        <f t="shared" si="5"/>
        <v>Senior</v>
      </c>
      <c r="L89" t="str">
        <f t="shared" si="6"/>
        <v>Long</v>
      </c>
      <c r="M89" t="str">
        <f t="shared" si="7"/>
        <v>HighRisk</v>
      </c>
    </row>
    <row r="90" spans="1:13" x14ac:dyDescent="0.3">
      <c r="A90">
        <v>30</v>
      </c>
      <c r="B90" t="s">
        <v>1010</v>
      </c>
      <c r="C90">
        <v>3</v>
      </c>
      <c r="D90" t="s">
        <v>1016</v>
      </c>
      <c r="E90" t="s">
        <v>1013</v>
      </c>
      <c r="F90" t="s">
        <v>1012</v>
      </c>
      <c r="G90" s="5">
        <v>2249</v>
      </c>
      <c r="H90">
        <v>18</v>
      </c>
      <c r="I90" t="s">
        <v>1019</v>
      </c>
      <c r="J90" t="str">
        <f t="shared" si="4"/>
        <v>Low Risk</v>
      </c>
      <c r="K90" t="str">
        <f t="shared" si="5"/>
        <v>Senior</v>
      </c>
      <c r="L90" t="str">
        <f t="shared" si="6"/>
        <v>Medium</v>
      </c>
      <c r="M90" t="str">
        <f t="shared" si="7"/>
        <v>Low Risk</v>
      </c>
    </row>
    <row r="91" spans="1:13" x14ac:dyDescent="0.3">
      <c r="A91">
        <v>28</v>
      </c>
      <c r="B91" t="s">
        <v>1010</v>
      </c>
      <c r="C91">
        <v>2</v>
      </c>
      <c r="D91" t="s">
        <v>1016</v>
      </c>
      <c r="E91" t="s">
        <v>1012</v>
      </c>
      <c r="F91" t="s">
        <v>1012</v>
      </c>
      <c r="G91" s="5">
        <v>1108</v>
      </c>
      <c r="H91">
        <v>12</v>
      </c>
      <c r="I91" t="s">
        <v>1024</v>
      </c>
      <c r="J91" t="str">
        <f t="shared" si="4"/>
        <v>Low Risk</v>
      </c>
      <c r="K91" t="str">
        <f t="shared" si="5"/>
        <v>Young</v>
      </c>
      <c r="L91" t="str">
        <f t="shared" si="6"/>
        <v>Medium</v>
      </c>
      <c r="M91" t="str">
        <f t="shared" si="7"/>
        <v>Low Risk</v>
      </c>
    </row>
    <row r="92" spans="1:13" x14ac:dyDescent="0.3">
      <c r="A92">
        <v>56</v>
      </c>
      <c r="B92" t="s">
        <v>1010</v>
      </c>
      <c r="C92">
        <v>2</v>
      </c>
      <c r="D92" t="s">
        <v>1016</v>
      </c>
      <c r="E92" t="s">
        <v>1012</v>
      </c>
      <c r="F92" t="s">
        <v>1011</v>
      </c>
      <c r="G92" s="5">
        <v>618</v>
      </c>
      <c r="H92">
        <v>12</v>
      </c>
      <c r="I92" t="s">
        <v>1023</v>
      </c>
      <c r="J92" t="str">
        <f t="shared" si="4"/>
        <v>Low Risk</v>
      </c>
      <c r="K92" t="str">
        <f t="shared" si="5"/>
        <v>Adult</v>
      </c>
      <c r="L92" t="str">
        <f t="shared" si="6"/>
        <v>Medium</v>
      </c>
      <c r="M92" t="str">
        <f t="shared" si="7"/>
        <v>Low Risk</v>
      </c>
    </row>
    <row r="93" spans="1:13" x14ac:dyDescent="0.3">
      <c r="A93">
        <v>54</v>
      </c>
      <c r="B93" t="s">
        <v>1010</v>
      </c>
      <c r="C93">
        <v>2</v>
      </c>
      <c r="D93" t="s">
        <v>1016</v>
      </c>
      <c r="E93" t="s">
        <v>1012</v>
      </c>
      <c r="F93" t="s">
        <v>1012</v>
      </c>
      <c r="G93" s="5">
        <v>1409</v>
      </c>
      <c r="H93">
        <v>12</v>
      </c>
      <c r="I93" t="s">
        <v>1019</v>
      </c>
      <c r="J93" t="str">
        <f t="shared" si="4"/>
        <v>Low Risk</v>
      </c>
      <c r="K93" t="str">
        <f t="shared" si="5"/>
        <v>Adult</v>
      </c>
      <c r="L93" t="str">
        <f t="shared" si="6"/>
        <v>Medium</v>
      </c>
      <c r="M93" t="str">
        <f t="shared" si="7"/>
        <v>Low Risk</v>
      </c>
    </row>
    <row r="94" spans="1:13" x14ac:dyDescent="0.3">
      <c r="A94">
        <v>33</v>
      </c>
      <c r="B94" t="s">
        <v>1009</v>
      </c>
      <c r="C94">
        <v>1</v>
      </c>
      <c r="D94" t="s">
        <v>1016</v>
      </c>
      <c r="E94" t="s">
        <v>1011</v>
      </c>
      <c r="F94" t="s">
        <v>1011</v>
      </c>
      <c r="G94" s="5">
        <v>797</v>
      </c>
      <c r="H94">
        <v>12</v>
      </c>
      <c r="I94" t="s">
        <v>1023</v>
      </c>
      <c r="J94" t="str">
        <f t="shared" si="4"/>
        <v>Low Risk</v>
      </c>
      <c r="K94" t="str">
        <f t="shared" si="5"/>
        <v>Senior</v>
      </c>
      <c r="L94" t="str">
        <f t="shared" si="6"/>
        <v>Medium</v>
      </c>
      <c r="M94" t="str">
        <f t="shared" si="7"/>
        <v>Low Risk</v>
      </c>
    </row>
    <row r="95" spans="1:13" x14ac:dyDescent="0.3">
      <c r="A95">
        <v>20</v>
      </c>
      <c r="B95" t="s">
        <v>1010</v>
      </c>
      <c r="C95">
        <v>2</v>
      </c>
      <c r="D95" t="s">
        <v>1017</v>
      </c>
      <c r="E95" t="s">
        <v>1011</v>
      </c>
      <c r="F95" t="s">
        <v>1008</v>
      </c>
      <c r="G95" s="5">
        <v>3617</v>
      </c>
      <c r="H95">
        <v>24</v>
      </c>
      <c r="I95" t="s">
        <v>1022</v>
      </c>
      <c r="J95" t="str">
        <f t="shared" si="4"/>
        <v>Low Risk</v>
      </c>
      <c r="K95" t="str">
        <f t="shared" si="5"/>
        <v>Young</v>
      </c>
      <c r="L95" t="str">
        <f t="shared" si="6"/>
        <v>Medium</v>
      </c>
      <c r="M95" t="str">
        <f t="shared" si="7"/>
        <v>Medium Risk</v>
      </c>
    </row>
    <row r="96" spans="1:13" x14ac:dyDescent="0.3">
      <c r="A96">
        <v>54</v>
      </c>
      <c r="B96" t="s">
        <v>1010</v>
      </c>
      <c r="C96">
        <v>2</v>
      </c>
      <c r="D96" t="s">
        <v>1016</v>
      </c>
      <c r="E96" t="s">
        <v>1008</v>
      </c>
      <c r="F96" t="s">
        <v>1013</v>
      </c>
      <c r="G96" s="5">
        <v>1318</v>
      </c>
      <c r="H96">
        <v>12</v>
      </c>
      <c r="I96" t="s">
        <v>1019</v>
      </c>
      <c r="J96" t="str">
        <f t="shared" si="4"/>
        <v>Low Risk</v>
      </c>
      <c r="K96" t="str">
        <f t="shared" si="5"/>
        <v>Adult</v>
      </c>
      <c r="L96" t="str">
        <f t="shared" si="6"/>
        <v>Medium</v>
      </c>
      <c r="M96" t="str">
        <f t="shared" si="7"/>
        <v>Low Risk</v>
      </c>
    </row>
    <row r="97" spans="1:13" x14ac:dyDescent="0.3">
      <c r="A97">
        <v>58</v>
      </c>
      <c r="B97" t="s">
        <v>1010</v>
      </c>
      <c r="C97">
        <v>2</v>
      </c>
      <c r="D97" t="s">
        <v>1017</v>
      </c>
      <c r="E97" t="s">
        <v>1012</v>
      </c>
      <c r="F97" t="s">
        <v>1013</v>
      </c>
      <c r="G97" s="5">
        <v>15945</v>
      </c>
      <c r="H97">
        <v>54</v>
      </c>
      <c r="I97" t="s">
        <v>1018</v>
      </c>
      <c r="J97" t="str">
        <f t="shared" si="4"/>
        <v>High Risk</v>
      </c>
      <c r="K97" t="str">
        <f t="shared" si="5"/>
        <v>Adult</v>
      </c>
      <c r="L97" t="str">
        <f t="shared" si="6"/>
        <v>Long</v>
      </c>
      <c r="M97" t="str">
        <f t="shared" si="7"/>
        <v>HighRisk</v>
      </c>
    </row>
    <row r="98" spans="1:13" x14ac:dyDescent="0.3">
      <c r="A98">
        <v>61</v>
      </c>
      <c r="B98" t="s">
        <v>1009</v>
      </c>
      <c r="C98">
        <v>2</v>
      </c>
      <c r="D98" t="s">
        <v>1016</v>
      </c>
      <c r="E98" t="s">
        <v>1011</v>
      </c>
      <c r="F98" t="s">
        <v>1011</v>
      </c>
      <c r="G98" s="5">
        <v>2012</v>
      </c>
      <c r="H98">
        <v>12</v>
      </c>
      <c r="I98" t="s">
        <v>1021</v>
      </c>
      <c r="J98" t="str">
        <f t="shared" si="4"/>
        <v>Low Risk</v>
      </c>
      <c r="K98" t="str">
        <f t="shared" si="5"/>
        <v>Adult</v>
      </c>
      <c r="L98" t="str">
        <f t="shared" si="6"/>
        <v>Medium</v>
      </c>
      <c r="M98" t="str">
        <f t="shared" si="7"/>
        <v>Low Risk</v>
      </c>
    </row>
    <row r="99" spans="1:13" x14ac:dyDescent="0.3">
      <c r="A99">
        <v>34</v>
      </c>
      <c r="B99" t="s">
        <v>1010</v>
      </c>
      <c r="C99">
        <v>2</v>
      </c>
      <c r="D99" t="s">
        <v>1016</v>
      </c>
      <c r="E99" t="s">
        <v>1013</v>
      </c>
      <c r="F99" t="s">
        <v>1013</v>
      </c>
      <c r="G99" s="5">
        <v>2622</v>
      </c>
      <c r="H99">
        <v>18</v>
      </c>
      <c r="I99" t="s">
        <v>1018</v>
      </c>
      <c r="J99" t="str">
        <f t="shared" si="4"/>
        <v>Low Risk</v>
      </c>
      <c r="K99" t="str">
        <f t="shared" si="5"/>
        <v>Senior</v>
      </c>
      <c r="L99" t="str">
        <f t="shared" si="6"/>
        <v>Medium</v>
      </c>
      <c r="M99" t="str">
        <f t="shared" si="7"/>
        <v>Low Risk</v>
      </c>
    </row>
    <row r="100" spans="1:13" x14ac:dyDescent="0.3">
      <c r="A100">
        <v>36</v>
      </c>
      <c r="B100" t="s">
        <v>1010</v>
      </c>
      <c r="C100">
        <v>2</v>
      </c>
      <c r="D100" t="s">
        <v>1016</v>
      </c>
      <c r="E100" t="s">
        <v>1012</v>
      </c>
      <c r="F100" t="s">
        <v>1013</v>
      </c>
      <c r="G100" s="5">
        <v>2337</v>
      </c>
      <c r="H100">
        <v>36</v>
      </c>
      <c r="I100" t="s">
        <v>1023</v>
      </c>
      <c r="J100" t="str">
        <f t="shared" si="4"/>
        <v>Low Risk</v>
      </c>
      <c r="K100" t="str">
        <f t="shared" si="5"/>
        <v>Senior</v>
      </c>
      <c r="L100" t="str">
        <f t="shared" si="6"/>
        <v>Long</v>
      </c>
      <c r="M100" t="str">
        <f t="shared" si="7"/>
        <v>Low Risk</v>
      </c>
    </row>
    <row r="101" spans="1:13" x14ac:dyDescent="0.3">
      <c r="A101">
        <v>36</v>
      </c>
      <c r="B101" t="s">
        <v>1010</v>
      </c>
      <c r="C101">
        <v>3</v>
      </c>
      <c r="D101" t="s">
        <v>1017</v>
      </c>
      <c r="E101" t="s">
        <v>1011</v>
      </c>
      <c r="F101" t="s">
        <v>1013</v>
      </c>
      <c r="G101" s="5">
        <v>7057</v>
      </c>
      <c r="H101">
        <v>20</v>
      </c>
      <c r="I101" t="s">
        <v>1019</v>
      </c>
      <c r="J101" t="str">
        <f t="shared" si="4"/>
        <v>High Risk</v>
      </c>
      <c r="K101" t="str">
        <f t="shared" si="5"/>
        <v>Senior</v>
      </c>
      <c r="L101" t="str">
        <f t="shared" si="6"/>
        <v>Medium</v>
      </c>
      <c r="M101" t="str">
        <f t="shared" si="7"/>
        <v>HighRisk</v>
      </c>
    </row>
    <row r="102" spans="1:13" x14ac:dyDescent="0.3">
      <c r="A102">
        <v>41</v>
      </c>
      <c r="B102" t="s">
        <v>1010</v>
      </c>
      <c r="C102">
        <v>1</v>
      </c>
      <c r="D102" t="s">
        <v>1017</v>
      </c>
      <c r="E102" t="s">
        <v>1013</v>
      </c>
      <c r="F102" t="s">
        <v>1011</v>
      </c>
      <c r="G102" s="5">
        <v>1469</v>
      </c>
      <c r="H102">
        <v>24</v>
      </c>
      <c r="I102" t="s">
        <v>1019</v>
      </c>
      <c r="J102" t="str">
        <f t="shared" si="4"/>
        <v>Low Risk</v>
      </c>
      <c r="K102" t="str">
        <f t="shared" si="5"/>
        <v>Senior</v>
      </c>
      <c r="L102" t="str">
        <f t="shared" si="6"/>
        <v>Medium</v>
      </c>
      <c r="M102" t="str">
        <f t="shared" si="7"/>
        <v>Low Risk</v>
      </c>
    </row>
    <row r="103" spans="1:13" x14ac:dyDescent="0.3">
      <c r="A103">
        <v>24</v>
      </c>
      <c r="B103" t="s">
        <v>1010</v>
      </c>
      <c r="C103">
        <v>2</v>
      </c>
      <c r="D103" t="s">
        <v>1017</v>
      </c>
      <c r="E103" t="s">
        <v>1012</v>
      </c>
      <c r="F103" t="s">
        <v>1013</v>
      </c>
      <c r="G103" s="5">
        <v>2323</v>
      </c>
      <c r="H103">
        <v>36</v>
      </c>
      <c r="I103" t="s">
        <v>1023</v>
      </c>
      <c r="J103" t="str">
        <f t="shared" si="4"/>
        <v>Low Risk</v>
      </c>
      <c r="K103" t="str">
        <f t="shared" si="5"/>
        <v>Young</v>
      </c>
      <c r="L103" t="str">
        <f t="shared" si="6"/>
        <v>Long</v>
      </c>
      <c r="M103" t="str">
        <f t="shared" si="7"/>
        <v>Low Risk</v>
      </c>
    </row>
    <row r="104" spans="1:13" x14ac:dyDescent="0.3">
      <c r="A104">
        <v>24</v>
      </c>
      <c r="B104" t="s">
        <v>1009</v>
      </c>
      <c r="C104">
        <v>2</v>
      </c>
      <c r="D104" t="s">
        <v>1016</v>
      </c>
      <c r="E104" t="s">
        <v>1012</v>
      </c>
      <c r="F104" t="s">
        <v>1011</v>
      </c>
      <c r="G104" s="5">
        <v>932</v>
      </c>
      <c r="H104">
        <v>6</v>
      </c>
      <c r="I104" t="s">
        <v>1023</v>
      </c>
      <c r="J104" t="str">
        <f t="shared" si="4"/>
        <v>Low Risk</v>
      </c>
      <c r="K104" t="str">
        <f t="shared" si="5"/>
        <v>Young</v>
      </c>
      <c r="L104" t="str">
        <f t="shared" si="6"/>
        <v>Short</v>
      </c>
      <c r="M104" t="str">
        <f t="shared" si="7"/>
        <v>Low Risk</v>
      </c>
    </row>
    <row r="105" spans="1:13" x14ac:dyDescent="0.3">
      <c r="A105">
        <v>35</v>
      </c>
      <c r="B105" t="s">
        <v>1010</v>
      </c>
      <c r="C105">
        <v>2</v>
      </c>
      <c r="D105" t="s">
        <v>1017</v>
      </c>
      <c r="E105" t="s">
        <v>1012</v>
      </c>
      <c r="F105" t="s">
        <v>1013</v>
      </c>
      <c r="G105" s="5">
        <v>1919</v>
      </c>
      <c r="H105">
        <v>9</v>
      </c>
      <c r="I105" t="s">
        <v>1022</v>
      </c>
      <c r="J105" t="str">
        <f t="shared" si="4"/>
        <v>Low Risk</v>
      </c>
      <c r="K105" t="str">
        <f t="shared" si="5"/>
        <v>Senior</v>
      </c>
      <c r="L105" t="str">
        <f t="shared" si="6"/>
        <v>Short</v>
      </c>
      <c r="M105" t="str">
        <f t="shared" si="7"/>
        <v>Low Risk</v>
      </c>
    </row>
    <row r="106" spans="1:13" x14ac:dyDescent="0.3">
      <c r="A106">
        <v>26</v>
      </c>
      <c r="B106" t="s">
        <v>1010</v>
      </c>
      <c r="C106">
        <v>2</v>
      </c>
      <c r="D106" t="s">
        <v>1017</v>
      </c>
      <c r="E106" t="s">
        <v>1011</v>
      </c>
      <c r="F106" t="s">
        <v>1011</v>
      </c>
      <c r="G106" s="5">
        <v>2445</v>
      </c>
      <c r="H106">
        <v>12</v>
      </c>
      <c r="I106" t="s">
        <v>1019</v>
      </c>
      <c r="J106" t="str">
        <f t="shared" si="4"/>
        <v>Low Risk</v>
      </c>
      <c r="K106" t="str">
        <f t="shared" si="5"/>
        <v>Young</v>
      </c>
      <c r="L106" t="str">
        <f t="shared" si="6"/>
        <v>Medium</v>
      </c>
      <c r="M106" t="str">
        <f t="shared" si="7"/>
        <v>Low Risk</v>
      </c>
    </row>
    <row r="107" spans="1:13" x14ac:dyDescent="0.3">
      <c r="A107">
        <v>39</v>
      </c>
      <c r="B107" t="s">
        <v>1010</v>
      </c>
      <c r="C107">
        <v>3</v>
      </c>
      <c r="D107" t="s">
        <v>1016</v>
      </c>
      <c r="E107" t="s">
        <v>1012</v>
      </c>
      <c r="F107" t="s">
        <v>1013</v>
      </c>
      <c r="G107" s="5">
        <v>11938</v>
      </c>
      <c r="H107">
        <v>24</v>
      </c>
      <c r="I107" t="s">
        <v>1025</v>
      </c>
      <c r="J107" t="str">
        <f t="shared" si="4"/>
        <v>High Risk</v>
      </c>
      <c r="K107" t="str">
        <f t="shared" si="5"/>
        <v>Senior</v>
      </c>
      <c r="L107" t="str">
        <f t="shared" si="6"/>
        <v>Medium</v>
      </c>
      <c r="M107" t="str">
        <f t="shared" si="7"/>
        <v>HighRisk</v>
      </c>
    </row>
    <row r="108" spans="1:13" x14ac:dyDescent="0.3">
      <c r="A108">
        <v>39</v>
      </c>
      <c r="B108" t="s">
        <v>1010</v>
      </c>
      <c r="C108">
        <v>3</v>
      </c>
      <c r="D108" t="s">
        <v>1016</v>
      </c>
      <c r="E108" t="s">
        <v>1012</v>
      </c>
      <c r="F108" t="s">
        <v>1011</v>
      </c>
      <c r="G108" s="5">
        <v>6458</v>
      </c>
      <c r="H108">
        <v>18</v>
      </c>
      <c r="I108" t="s">
        <v>1019</v>
      </c>
      <c r="J108" t="str">
        <f t="shared" si="4"/>
        <v>Low Risk</v>
      </c>
      <c r="K108" t="str">
        <f t="shared" si="5"/>
        <v>Senior</v>
      </c>
      <c r="L108" t="str">
        <f t="shared" si="6"/>
        <v>Medium</v>
      </c>
      <c r="M108" t="str">
        <f t="shared" si="7"/>
        <v>HighRisk</v>
      </c>
    </row>
    <row r="109" spans="1:13" x14ac:dyDescent="0.3">
      <c r="A109">
        <v>32</v>
      </c>
      <c r="B109" t="s">
        <v>1010</v>
      </c>
      <c r="C109">
        <v>2</v>
      </c>
      <c r="D109" t="s">
        <v>1016</v>
      </c>
      <c r="E109" t="s">
        <v>1012</v>
      </c>
      <c r="F109" t="s">
        <v>1013</v>
      </c>
      <c r="G109" s="5">
        <v>6078</v>
      </c>
      <c r="H109">
        <v>12</v>
      </c>
      <c r="I109" t="s">
        <v>1019</v>
      </c>
      <c r="J109" t="str">
        <f t="shared" si="4"/>
        <v>Low Risk</v>
      </c>
      <c r="K109" t="str">
        <f t="shared" si="5"/>
        <v>Senior</v>
      </c>
      <c r="L109" t="str">
        <f t="shared" si="6"/>
        <v>Medium</v>
      </c>
      <c r="M109" t="str">
        <f t="shared" si="7"/>
        <v>HighRisk</v>
      </c>
    </row>
    <row r="110" spans="1:13" x14ac:dyDescent="0.3">
      <c r="A110">
        <v>30</v>
      </c>
      <c r="B110" t="s">
        <v>1009</v>
      </c>
      <c r="C110">
        <v>2</v>
      </c>
      <c r="D110" t="s">
        <v>1016</v>
      </c>
      <c r="E110" t="s">
        <v>1011</v>
      </c>
      <c r="F110" t="s">
        <v>1012</v>
      </c>
      <c r="G110" s="5">
        <v>7721</v>
      </c>
      <c r="H110">
        <v>24</v>
      </c>
      <c r="I110" t="s">
        <v>1022</v>
      </c>
      <c r="J110" t="str">
        <f t="shared" si="4"/>
        <v>High Risk</v>
      </c>
      <c r="K110" t="str">
        <f t="shared" si="5"/>
        <v>Senior</v>
      </c>
      <c r="L110" t="str">
        <f t="shared" si="6"/>
        <v>Medium</v>
      </c>
      <c r="M110" t="str">
        <f t="shared" si="7"/>
        <v>HighRisk</v>
      </c>
    </row>
    <row r="111" spans="1:13" x14ac:dyDescent="0.3">
      <c r="A111">
        <v>35</v>
      </c>
      <c r="B111" t="s">
        <v>1010</v>
      </c>
      <c r="C111">
        <v>2</v>
      </c>
      <c r="D111" t="s">
        <v>1016</v>
      </c>
      <c r="E111" t="s">
        <v>1014</v>
      </c>
      <c r="F111" t="s">
        <v>1013</v>
      </c>
      <c r="G111" s="5">
        <v>1410</v>
      </c>
      <c r="H111">
        <v>14</v>
      </c>
      <c r="I111" t="s">
        <v>1018</v>
      </c>
      <c r="J111" t="str">
        <f t="shared" si="4"/>
        <v>Low Risk</v>
      </c>
      <c r="K111" t="str">
        <f t="shared" si="5"/>
        <v>Senior</v>
      </c>
      <c r="L111" t="str">
        <f t="shared" si="6"/>
        <v>Medium</v>
      </c>
      <c r="M111" t="str">
        <f t="shared" si="7"/>
        <v>Low Risk</v>
      </c>
    </row>
    <row r="112" spans="1:13" x14ac:dyDescent="0.3">
      <c r="A112">
        <v>31</v>
      </c>
      <c r="B112" t="s">
        <v>1010</v>
      </c>
      <c r="C112">
        <v>2</v>
      </c>
      <c r="D112" t="s">
        <v>1016</v>
      </c>
      <c r="E112" t="s">
        <v>1013</v>
      </c>
      <c r="F112" t="s">
        <v>1013</v>
      </c>
      <c r="G112" s="5">
        <v>1449</v>
      </c>
      <c r="H112">
        <v>6</v>
      </c>
      <c r="I112" t="s">
        <v>1018</v>
      </c>
      <c r="J112" t="str">
        <f t="shared" si="4"/>
        <v>Low Risk</v>
      </c>
      <c r="K112" t="str">
        <f t="shared" si="5"/>
        <v>Senior</v>
      </c>
      <c r="L112" t="str">
        <f t="shared" si="6"/>
        <v>Short</v>
      </c>
      <c r="M112" t="str">
        <f t="shared" si="7"/>
        <v>Low Risk</v>
      </c>
    </row>
    <row r="113" spans="1:13" x14ac:dyDescent="0.3">
      <c r="A113">
        <v>23</v>
      </c>
      <c r="B113" t="s">
        <v>1009</v>
      </c>
      <c r="C113">
        <v>2</v>
      </c>
      <c r="D113" t="s">
        <v>1017</v>
      </c>
      <c r="E113" t="s">
        <v>1012</v>
      </c>
      <c r="F113" t="s">
        <v>1008</v>
      </c>
      <c r="G113" s="5">
        <v>392</v>
      </c>
      <c r="H113">
        <v>15</v>
      </c>
      <c r="I113" t="s">
        <v>1021</v>
      </c>
      <c r="J113" t="str">
        <f t="shared" si="4"/>
        <v>Low Risk</v>
      </c>
      <c r="K113" t="str">
        <f t="shared" si="5"/>
        <v>Young</v>
      </c>
      <c r="L113" t="str">
        <f t="shared" si="6"/>
        <v>Medium</v>
      </c>
      <c r="M113" t="str">
        <f t="shared" si="7"/>
        <v>Low Risk</v>
      </c>
    </row>
    <row r="114" spans="1:13" x14ac:dyDescent="0.3">
      <c r="A114">
        <v>28</v>
      </c>
      <c r="B114" t="s">
        <v>1010</v>
      </c>
      <c r="C114">
        <v>1</v>
      </c>
      <c r="D114" t="s">
        <v>1017</v>
      </c>
      <c r="E114" t="s">
        <v>1012</v>
      </c>
      <c r="F114" t="s">
        <v>1013</v>
      </c>
      <c r="G114" s="5">
        <v>6260</v>
      </c>
      <c r="H114">
        <v>18</v>
      </c>
      <c r="I114" t="s">
        <v>1019</v>
      </c>
      <c r="J114" t="str">
        <f t="shared" si="4"/>
        <v>Low Risk</v>
      </c>
      <c r="K114" t="str">
        <f t="shared" si="5"/>
        <v>Young</v>
      </c>
      <c r="L114" t="str">
        <f t="shared" si="6"/>
        <v>Medium</v>
      </c>
      <c r="M114" t="str">
        <f t="shared" si="7"/>
        <v>HighRisk</v>
      </c>
    </row>
    <row r="115" spans="1:13" x14ac:dyDescent="0.3">
      <c r="A115">
        <v>25</v>
      </c>
      <c r="B115" t="s">
        <v>1009</v>
      </c>
      <c r="C115">
        <v>2</v>
      </c>
      <c r="D115" t="s">
        <v>1016</v>
      </c>
      <c r="E115" t="s">
        <v>1012</v>
      </c>
      <c r="F115" t="s">
        <v>1011</v>
      </c>
      <c r="G115" s="5">
        <v>7855</v>
      </c>
      <c r="H115">
        <v>36</v>
      </c>
      <c r="I115" t="s">
        <v>1019</v>
      </c>
      <c r="J115" t="str">
        <f t="shared" si="4"/>
        <v>High Risk</v>
      </c>
      <c r="K115" t="str">
        <f t="shared" si="5"/>
        <v>Young</v>
      </c>
      <c r="L115" t="str">
        <f t="shared" si="6"/>
        <v>Long</v>
      </c>
      <c r="M115" t="str">
        <f t="shared" si="7"/>
        <v>HighRisk</v>
      </c>
    </row>
    <row r="116" spans="1:13" x14ac:dyDescent="0.3">
      <c r="A116">
        <v>35</v>
      </c>
      <c r="B116" t="s">
        <v>1010</v>
      </c>
      <c r="C116">
        <v>2</v>
      </c>
      <c r="D116" t="s">
        <v>1016</v>
      </c>
      <c r="E116" t="s">
        <v>1014</v>
      </c>
      <c r="F116" t="s">
        <v>1012</v>
      </c>
      <c r="G116" s="5">
        <v>1680</v>
      </c>
      <c r="H116">
        <v>12</v>
      </c>
      <c r="I116" t="s">
        <v>1023</v>
      </c>
      <c r="J116" t="str">
        <f t="shared" si="4"/>
        <v>Low Risk</v>
      </c>
      <c r="K116" t="str">
        <f t="shared" si="5"/>
        <v>Senior</v>
      </c>
      <c r="L116" t="str">
        <f t="shared" si="6"/>
        <v>Medium</v>
      </c>
      <c r="M116" t="str">
        <f t="shared" si="7"/>
        <v>Low Risk</v>
      </c>
    </row>
    <row r="117" spans="1:13" x14ac:dyDescent="0.3">
      <c r="A117">
        <v>47</v>
      </c>
      <c r="B117" t="s">
        <v>1010</v>
      </c>
      <c r="C117">
        <v>2</v>
      </c>
      <c r="D117" t="s">
        <v>1016</v>
      </c>
      <c r="E117" t="s">
        <v>1011</v>
      </c>
      <c r="F117" t="s">
        <v>1011</v>
      </c>
      <c r="G117" s="5">
        <v>3578</v>
      </c>
      <c r="H117">
        <v>48</v>
      </c>
      <c r="I117" t="s">
        <v>1023</v>
      </c>
      <c r="J117" t="str">
        <f t="shared" si="4"/>
        <v>High Risk</v>
      </c>
      <c r="K117" t="str">
        <f t="shared" si="5"/>
        <v>Senior</v>
      </c>
      <c r="L117" t="str">
        <f t="shared" si="6"/>
        <v>Long</v>
      </c>
      <c r="M117" t="str">
        <f t="shared" si="7"/>
        <v>Medium Risk</v>
      </c>
    </row>
    <row r="118" spans="1:13" x14ac:dyDescent="0.3">
      <c r="A118">
        <v>30</v>
      </c>
      <c r="B118" t="s">
        <v>1009</v>
      </c>
      <c r="C118">
        <v>3</v>
      </c>
      <c r="D118" t="s">
        <v>1016</v>
      </c>
      <c r="E118" t="s">
        <v>1011</v>
      </c>
      <c r="F118" t="s">
        <v>1012</v>
      </c>
      <c r="G118" s="5">
        <v>7174</v>
      </c>
      <c r="H118">
        <v>42</v>
      </c>
      <c r="I118" t="s">
        <v>1023</v>
      </c>
      <c r="J118" t="str">
        <f t="shared" si="4"/>
        <v>High Risk</v>
      </c>
      <c r="K118" t="str">
        <f t="shared" si="5"/>
        <v>Senior</v>
      </c>
      <c r="L118" t="str">
        <f t="shared" si="6"/>
        <v>Long</v>
      </c>
      <c r="M118" t="str">
        <f t="shared" si="7"/>
        <v>HighRisk</v>
      </c>
    </row>
    <row r="119" spans="1:13" x14ac:dyDescent="0.3">
      <c r="A119">
        <v>27</v>
      </c>
      <c r="B119" t="s">
        <v>1009</v>
      </c>
      <c r="C119">
        <v>2</v>
      </c>
      <c r="D119" t="s">
        <v>1017</v>
      </c>
      <c r="E119" t="s">
        <v>1011</v>
      </c>
      <c r="F119" t="s">
        <v>1012</v>
      </c>
      <c r="G119" s="5">
        <v>2132</v>
      </c>
      <c r="H119">
        <v>10</v>
      </c>
      <c r="I119" t="s">
        <v>1022</v>
      </c>
      <c r="J119" t="str">
        <f t="shared" si="4"/>
        <v>Low Risk</v>
      </c>
      <c r="K119" t="str">
        <f t="shared" si="5"/>
        <v>Young</v>
      </c>
      <c r="L119" t="str">
        <f t="shared" si="6"/>
        <v>Short</v>
      </c>
      <c r="M119" t="str">
        <f t="shared" si="7"/>
        <v>Low Risk</v>
      </c>
    </row>
    <row r="120" spans="1:13" x14ac:dyDescent="0.3">
      <c r="A120">
        <v>23</v>
      </c>
      <c r="B120" t="s">
        <v>1009</v>
      </c>
      <c r="C120">
        <v>2</v>
      </c>
      <c r="D120" t="s">
        <v>1016</v>
      </c>
      <c r="E120" t="s">
        <v>1014</v>
      </c>
      <c r="F120" t="s">
        <v>1012</v>
      </c>
      <c r="G120" s="5">
        <v>4281</v>
      </c>
      <c r="H120">
        <v>33</v>
      </c>
      <c r="I120" t="s">
        <v>1022</v>
      </c>
      <c r="J120" t="str">
        <f t="shared" si="4"/>
        <v>Medium Risk</v>
      </c>
      <c r="K120" t="str">
        <f t="shared" si="5"/>
        <v>Young</v>
      </c>
      <c r="L120" t="str">
        <f t="shared" si="6"/>
        <v>Medium</v>
      </c>
      <c r="M120" t="str">
        <f t="shared" si="7"/>
        <v>Medium Risk</v>
      </c>
    </row>
    <row r="121" spans="1:13" x14ac:dyDescent="0.3">
      <c r="A121">
        <v>36</v>
      </c>
      <c r="B121" t="s">
        <v>1010</v>
      </c>
      <c r="C121">
        <v>3</v>
      </c>
      <c r="D121" t="s">
        <v>1016</v>
      </c>
      <c r="E121" t="s">
        <v>1014</v>
      </c>
      <c r="F121" t="s">
        <v>1013</v>
      </c>
      <c r="G121" s="5">
        <v>2366</v>
      </c>
      <c r="H121">
        <v>12</v>
      </c>
      <c r="I121" t="s">
        <v>1019</v>
      </c>
      <c r="J121" t="str">
        <f t="shared" si="4"/>
        <v>Low Risk</v>
      </c>
      <c r="K121" t="str">
        <f t="shared" si="5"/>
        <v>Senior</v>
      </c>
      <c r="L121" t="str">
        <f t="shared" si="6"/>
        <v>Medium</v>
      </c>
      <c r="M121" t="str">
        <f t="shared" si="7"/>
        <v>Low Risk</v>
      </c>
    </row>
    <row r="122" spans="1:13" x14ac:dyDescent="0.3">
      <c r="A122">
        <v>25</v>
      </c>
      <c r="B122" t="s">
        <v>1009</v>
      </c>
      <c r="C122">
        <v>2</v>
      </c>
      <c r="D122" t="s">
        <v>1016</v>
      </c>
      <c r="E122" t="s">
        <v>1012</v>
      </c>
      <c r="F122" t="s">
        <v>1012</v>
      </c>
      <c r="G122" s="5">
        <v>1835</v>
      </c>
      <c r="H122">
        <v>21</v>
      </c>
      <c r="I122" t="s">
        <v>1023</v>
      </c>
      <c r="J122" t="str">
        <f t="shared" si="4"/>
        <v>Low Risk</v>
      </c>
      <c r="K122" t="str">
        <f t="shared" si="5"/>
        <v>Young</v>
      </c>
      <c r="L122" t="str">
        <f t="shared" si="6"/>
        <v>Medium</v>
      </c>
      <c r="M122" t="str">
        <f t="shared" si="7"/>
        <v>Low Risk</v>
      </c>
    </row>
    <row r="123" spans="1:13" x14ac:dyDescent="0.3">
      <c r="A123">
        <v>41</v>
      </c>
      <c r="B123" t="s">
        <v>1009</v>
      </c>
      <c r="C123">
        <v>3</v>
      </c>
      <c r="D123" t="s">
        <v>1017</v>
      </c>
      <c r="E123" t="s">
        <v>1012</v>
      </c>
      <c r="F123" t="s">
        <v>1011</v>
      </c>
      <c r="G123" s="5">
        <v>3868</v>
      </c>
      <c r="H123">
        <v>24</v>
      </c>
      <c r="I123" t="s">
        <v>1019</v>
      </c>
      <c r="J123" t="str">
        <f t="shared" si="4"/>
        <v>Low Risk</v>
      </c>
      <c r="K123" t="str">
        <f t="shared" si="5"/>
        <v>Senior</v>
      </c>
      <c r="L123" t="str">
        <f t="shared" si="6"/>
        <v>Medium</v>
      </c>
      <c r="M123" t="str">
        <f t="shared" si="7"/>
        <v>Medium Risk</v>
      </c>
    </row>
    <row r="124" spans="1:13" x14ac:dyDescent="0.3">
      <c r="A124">
        <v>24</v>
      </c>
      <c r="B124" t="s">
        <v>1010</v>
      </c>
      <c r="C124">
        <v>1</v>
      </c>
      <c r="D124" t="s">
        <v>1017</v>
      </c>
      <c r="E124" t="s">
        <v>1012</v>
      </c>
      <c r="F124" t="s">
        <v>1011</v>
      </c>
      <c r="G124" s="5">
        <v>1768</v>
      </c>
      <c r="H124">
        <v>12</v>
      </c>
      <c r="I124" t="s">
        <v>1022</v>
      </c>
      <c r="J124" t="str">
        <f t="shared" si="4"/>
        <v>Low Risk</v>
      </c>
      <c r="K124" t="str">
        <f t="shared" si="5"/>
        <v>Young</v>
      </c>
      <c r="L124" t="str">
        <f t="shared" si="6"/>
        <v>Medium</v>
      </c>
      <c r="M124" t="str">
        <f t="shared" si="7"/>
        <v>Low Risk</v>
      </c>
    </row>
    <row r="125" spans="1:13" x14ac:dyDescent="0.3">
      <c r="A125">
        <v>63</v>
      </c>
      <c r="B125" t="s">
        <v>1010</v>
      </c>
      <c r="C125">
        <v>2</v>
      </c>
      <c r="D125" t="s">
        <v>1015</v>
      </c>
      <c r="E125" t="s">
        <v>1012</v>
      </c>
      <c r="F125" t="s">
        <v>1008</v>
      </c>
      <c r="G125" s="5">
        <v>781</v>
      </c>
      <c r="H125">
        <v>10</v>
      </c>
      <c r="I125" t="s">
        <v>1019</v>
      </c>
      <c r="J125" t="str">
        <f t="shared" si="4"/>
        <v>Low Risk</v>
      </c>
      <c r="K125" t="str">
        <f t="shared" si="5"/>
        <v>Adult</v>
      </c>
      <c r="L125" t="str">
        <f t="shared" si="6"/>
        <v>Short</v>
      </c>
      <c r="M125" t="str">
        <f t="shared" si="7"/>
        <v>Low Risk</v>
      </c>
    </row>
    <row r="126" spans="1:13" x14ac:dyDescent="0.3">
      <c r="A126">
        <v>27</v>
      </c>
      <c r="B126" t="s">
        <v>1009</v>
      </c>
      <c r="C126">
        <v>2</v>
      </c>
      <c r="D126" t="s">
        <v>1017</v>
      </c>
      <c r="E126" t="s">
        <v>1011</v>
      </c>
      <c r="F126" t="s">
        <v>1013</v>
      </c>
      <c r="G126" s="5">
        <v>1924</v>
      </c>
      <c r="H126">
        <v>18</v>
      </c>
      <c r="I126" t="s">
        <v>1022</v>
      </c>
      <c r="J126" t="str">
        <f t="shared" si="4"/>
        <v>Low Risk</v>
      </c>
      <c r="K126" t="str">
        <f t="shared" si="5"/>
        <v>Young</v>
      </c>
      <c r="L126" t="str">
        <f t="shared" si="6"/>
        <v>Medium</v>
      </c>
      <c r="M126" t="str">
        <f t="shared" si="7"/>
        <v>Low Risk</v>
      </c>
    </row>
    <row r="127" spans="1:13" x14ac:dyDescent="0.3">
      <c r="A127">
        <v>30</v>
      </c>
      <c r="B127" t="s">
        <v>1010</v>
      </c>
      <c r="C127">
        <v>2</v>
      </c>
      <c r="D127" t="s">
        <v>1016</v>
      </c>
      <c r="E127" t="s">
        <v>1012</v>
      </c>
      <c r="F127" t="s">
        <v>1012</v>
      </c>
      <c r="G127" s="5">
        <v>2121</v>
      </c>
      <c r="H127">
        <v>12</v>
      </c>
      <c r="I127" t="s">
        <v>1019</v>
      </c>
      <c r="J127" t="str">
        <f t="shared" si="4"/>
        <v>Low Risk</v>
      </c>
      <c r="K127" t="str">
        <f t="shared" si="5"/>
        <v>Senior</v>
      </c>
      <c r="L127" t="str">
        <f t="shared" si="6"/>
        <v>Medium</v>
      </c>
      <c r="M127" t="str">
        <f t="shared" si="7"/>
        <v>Low Risk</v>
      </c>
    </row>
    <row r="128" spans="1:13" x14ac:dyDescent="0.3">
      <c r="A128">
        <v>40</v>
      </c>
      <c r="B128" t="s">
        <v>1010</v>
      </c>
      <c r="C128">
        <v>1</v>
      </c>
      <c r="D128" t="s">
        <v>1016</v>
      </c>
      <c r="E128" t="s">
        <v>1012</v>
      </c>
      <c r="F128" t="s">
        <v>1012</v>
      </c>
      <c r="G128" s="5">
        <v>701</v>
      </c>
      <c r="H128">
        <v>12</v>
      </c>
      <c r="I128" t="s">
        <v>1023</v>
      </c>
      <c r="J128" t="str">
        <f t="shared" si="4"/>
        <v>Low Risk</v>
      </c>
      <c r="K128" t="str">
        <f t="shared" si="5"/>
        <v>Senior</v>
      </c>
      <c r="L128" t="str">
        <f t="shared" si="6"/>
        <v>Medium</v>
      </c>
      <c r="M128" t="str">
        <f t="shared" si="7"/>
        <v>Low Risk</v>
      </c>
    </row>
    <row r="129" spans="1:13" x14ac:dyDescent="0.3">
      <c r="A129">
        <v>30</v>
      </c>
      <c r="B129" t="s">
        <v>1010</v>
      </c>
      <c r="C129">
        <v>2</v>
      </c>
      <c r="D129" t="s">
        <v>1016</v>
      </c>
      <c r="E129" t="s">
        <v>1012</v>
      </c>
      <c r="F129" t="s">
        <v>1013</v>
      </c>
      <c r="G129" s="5">
        <v>639</v>
      </c>
      <c r="H129">
        <v>12</v>
      </c>
      <c r="I129" t="s">
        <v>1024</v>
      </c>
      <c r="J129" t="str">
        <f t="shared" si="4"/>
        <v>Low Risk</v>
      </c>
      <c r="K129" t="str">
        <f t="shared" si="5"/>
        <v>Senior</v>
      </c>
      <c r="L129" t="str">
        <f t="shared" si="6"/>
        <v>Medium</v>
      </c>
      <c r="M129" t="str">
        <f t="shared" si="7"/>
        <v>Low Risk</v>
      </c>
    </row>
    <row r="130" spans="1:13" x14ac:dyDescent="0.3">
      <c r="A130">
        <v>34</v>
      </c>
      <c r="B130" t="s">
        <v>1010</v>
      </c>
      <c r="C130">
        <v>3</v>
      </c>
      <c r="D130" t="s">
        <v>1016</v>
      </c>
      <c r="E130" t="s">
        <v>1012</v>
      </c>
      <c r="F130" t="s">
        <v>1013</v>
      </c>
      <c r="G130" s="5">
        <v>1860</v>
      </c>
      <c r="H130">
        <v>12</v>
      </c>
      <c r="I130" t="s">
        <v>1019</v>
      </c>
      <c r="J130" t="str">
        <f t="shared" si="4"/>
        <v>Low Risk</v>
      </c>
      <c r="K130" t="str">
        <f t="shared" si="5"/>
        <v>Senior</v>
      </c>
      <c r="L130" t="str">
        <f t="shared" si="6"/>
        <v>Medium</v>
      </c>
      <c r="M130" t="str">
        <f t="shared" si="7"/>
        <v>Low Risk</v>
      </c>
    </row>
    <row r="131" spans="1:13" x14ac:dyDescent="0.3">
      <c r="A131">
        <v>29</v>
      </c>
      <c r="B131" t="s">
        <v>1009</v>
      </c>
      <c r="C131">
        <v>2</v>
      </c>
      <c r="D131" t="s">
        <v>1016</v>
      </c>
      <c r="E131" t="s">
        <v>1012</v>
      </c>
      <c r="F131" t="s">
        <v>1012</v>
      </c>
      <c r="G131" s="5">
        <v>3499</v>
      </c>
      <c r="H131">
        <v>12</v>
      </c>
      <c r="I131" t="s">
        <v>1019</v>
      </c>
      <c r="J131" t="str">
        <f t="shared" ref="J131:J194" si="8">IF(OR(G131&gt;7000,H131&gt;36),"High Risk",
IF(AND(G131&gt;4000,H131&gt;24),"Medium Risk",
"Low Risk"))</f>
        <v>Low Risk</v>
      </c>
      <c r="K131" t="str">
        <f t="shared" ref="K131:K194" si="9">IF(A131&lt;30,"Young",IF(A131&gt;50,"Adult","Senior"))</f>
        <v>Young</v>
      </c>
      <c r="L131" t="str">
        <f t="shared" ref="L131:L194" si="10">IF(H131&lt;12,"Short",IF(H131&lt;36,"Medium","Long"))</f>
        <v>Medium</v>
      </c>
      <c r="M131" t="str">
        <f t="shared" ref="M131:M194" si="11">IF(G131&lt;3000,"Low Risk",IF(G131&lt;=6000,"Medium Risk","HighRisk"))</f>
        <v>Medium Risk</v>
      </c>
    </row>
    <row r="132" spans="1:13" x14ac:dyDescent="0.3">
      <c r="A132">
        <v>24</v>
      </c>
      <c r="B132" t="s">
        <v>1009</v>
      </c>
      <c r="C132">
        <v>2</v>
      </c>
      <c r="D132" t="s">
        <v>1016</v>
      </c>
      <c r="E132" t="s">
        <v>1011</v>
      </c>
      <c r="F132" t="s">
        <v>1013</v>
      </c>
      <c r="G132" s="5">
        <v>8487</v>
      </c>
      <c r="H132">
        <v>48</v>
      </c>
      <c r="I132" t="s">
        <v>1019</v>
      </c>
      <c r="J132" t="str">
        <f t="shared" si="8"/>
        <v>High Risk</v>
      </c>
      <c r="K132" t="str">
        <f t="shared" si="9"/>
        <v>Young</v>
      </c>
      <c r="L132" t="str">
        <f t="shared" si="10"/>
        <v>Long</v>
      </c>
      <c r="M132" t="str">
        <f t="shared" si="11"/>
        <v>HighRisk</v>
      </c>
    </row>
    <row r="133" spans="1:13" x14ac:dyDescent="0.3">
      <c r="A133">
        <v>29</v>
      </c>
      <c r="B133" t="s">
        <v>1010</v>
      </c>
      <c r="C133">
        <v>2</v>
      </c>
      <c r="D133" t="s">
        <v>1016</v>
      </c>
      <c r="E133" t="s">
        <v>1012</v>
      </c>
      <c r="F133" t="s">
        <v>1012</v>
      </c>
      <c r="G133" s="5">
        <v>6887</v>
      </c>
      <c r="H133">
        <v>36</v>
      </c>
      <c r="I133" t="s">
        <v>1021</v>
      </c>
      <c r="J133" t="str">
        <f t="shared" si="8"/>
        <v>Medium Risk</v>
      </c>
      <c r="K133" t="str">
        <f t="shared" si="9"/>
        <v>Young</v>
      </c>
      <c r="L133" t="str">
        <f t="shared" si="10"/>
        <v>Long</v>
      </c>
      <c r="M133" t="str">
        <f t="shared" si="11"/>
        <v>HighRisk</v>
      </c>
    </row>
    <row r="134" spans="1:13" x14ac:dyDescent="0.3">
      <c r="A134">
        <v>27</v>
      </c>
      <c r="B134" t="s">
        <v>1010</v>
      </c>
      <c r="C134">
        <v>1</v>
      </c>
      <c r="D134" t="s">
        <v>1016</v>
      </c>
      <c r="E134" t="s">
        <v>1012</v>
      </c>
      <c r="F134" t="s">
        <v>1011</v>
      </c>
      <c r="G134" s="5">
        <v>2708</v>
      </c>
      <c r="H134">
        <v>15</v>
      </c>
      <c r="I134" t="s">
        <v>1022</v>
      </c>
      <c r="J134" t="str">
        <f t="shared" si="8"/>
        <v>Low Risk</v>
      </c>
      <c r="K134" t="str">
        <f t="shared" si="9"/>
        <v>Young</v>
      </c>
      <c r="L134" t="str">
        <f t="shared" si="10"/>
        <v>Medium</v>
      </c>
      <c r="M134" t="str">
        <f t="shared" si="11"/>
        <v>Low Risk</v>
      </c>
    </row>
    <row r="135" spans="1:13" x14ac:dyDescent="0.3">
      <c r="A135">
        <v>47</v>
      </c>
      <c r="B135" t="s">
        <v>1010</v>
      </c>
      <c r="C135">
        <v>2</v>
      </c>
      <c r="D135" t="s">
        <v>1015</v>
      </c>
      <c r="E135" t="s">
        <v>1012</v>
      </c>
      <c r="F135" t="s">
        <v>1011</v>
      </c>
      <c r="G135" s="5">
        <v>1984</v>
      </c>
      <c r="H135">
        <v>18</v>
      </c>
      <c r="I135" t="s">
        <v>1022</v>
      </c>
      <c r="J135" t="str">
        <f t="shared" si="8"/>
        <v>Low Risk</v>
      </c>
      <c r="K135" t="str">
        <f t="shared" si="9"/>
        <v>Senior</v>
      </c>
      <c r="L135" t="str">
        <f t="shared" si="10"/>
        <v>Medium</v>
      </c>
      <c r="M135" t="str">
        <f t="shared" si="11"/>
        <v>Low Risk</v>
      </c>
    </row>
    <row r="136" spans="1:13" x14ac:dyDescent="0.3">
      <c r="A136">
        <v>21</v>
      </c>
      <c r="B136" t="s">
        <v>1009</v>
      </c>
      <c r="C136">
        <v>2</v>
      </c>
      <c r="D136" t="s">
        <v>1016</v>
      </c>
      <c r="E136" t="s">
        <v>1013</v>
      </c>
      <c r="F136" t="s">
        <v>1011</v>
      </c>
      <c r="G136" s="5">
        <v>10144</v>
      </c>
      <c r="H136">
        <v>60</v>
      </c>
      <c r="I136" t="s">
        <v>1023</v>
      </c>
      <c r="J136" t="str">
        <f t="shared" si="8"/>
        <v>High Risk</v>
      </c>
      <c r="K136" t="str">
        <f t="shared" si="9"/>
        <v>Young</v>
      </c>
      <c r="L136" t="str">
        <f t="shared" si="10"/>
        <v>Long</v>
      </c>
      <c r="M136" t="str">
        <f t="shared" si="11"/>
        <v>HighRisk</v>
      </c>
    </row>
    <row r="137" spans="1:13" x14ac:dyDescent="0.3">
      <c r="A137">
        <v>38</v>
      </c>
      <c r="B137" t="s">
        <v>1009</v>
      </c>
      <c r="C137">
        <v>2</v>
      </c>
      <c r="D137" t="s">
        <v>1016</v>
      </c>
      <c r="E137" t="s">
        <v>1011</v>
      </c>
      <c r="F137" t="s">
        <v>1011</v>
      </c>
      <c r="G137" s="5">
        <v>1240</v>
      </c>
      <c r="H137">
        <v>12</v>
      </c>
      <c r="I137" t="s">
        <v>1023</v>
      </c>
      <c r="J137" t="str">
        <f t="shared" si="8"/>
        <v>Low Risk</v>
      </c>
      <c r="K137" t="str">
        <f t="shared" si="9"/>
        <v>Senior</v>
      </c>
      <c r="L137" t="str">
        <f t="shared" si="10"/>
        <v>Medium</v>
      </c>
      <c r="M137" t="str">
        <f t="shared" si="11"/>
        <v>Low Risk</v>
      </c>
    </row>
    <row r="138" spans="1:13" x14ac:dyDescent="0.3">
      <c r="A138">
        <v>27</v>
      </c>
      <c r="B138" t="s">
        <v>1010</v>
      </c>
      <c r="C138">
        <v>2</v>
      </c>
      <c r="D138" t="s">
        <v>1016</v>
      </c>
      <c r="E138" t="s">
        <v>1008</v>
      </c>
      <c r="F138" t="s">
        <v>1011</v>
      </c>
      <c r="G138" s="5">
        <v>8613</v>
      </c>
      <c r="H138">
        <v>27</v>
      </c>
      <c r="I138" t="s">
        <v>1019</v>
      </c>
      <c r="J138" t="str">
        <f t="shared" si="8"/>
        <v>High Risk</v>
      </c>
      <c r="K138" t="str">
        <f t="shared" si="9"/>
        <v>Young</v>
      </c>
      <c r="L138" t="str">
        <f t="shared" si="10"/>
        <v>Medium</v>
      </c>
      <c r="M138" t="str">
        <f t="shared" si="11"/>
        <v>HighRisk</v>
      </c>
    </row>
    <row r="139" spans="1:13" x14ac:dyDescent="0.3">
      <c r="A139">
        <v>66</v>
      </c>
      <c r="B139" t="s">
        <v>1010</v>
      </c>
      <c r="C139">
        <v>1</v>
      </c>
      <c r="D139" t="s">
        <v>1016</v>
      </c>
      <c r="E139" t="s">
        <v>1014</v>
      </c>
      <c r="F139" t="s">
        <v>1013</v>
      </c>
      <c r="G139" s="5">
        <v>766</v>
      </c>
      <c r="H139">
        <v>12</v>
      </c>
      <c r="I139" t="s">
        <v>1023</v>
      </c>
      <c r="J139" t="str">
        <f t="shared" si="8"/>
        <v>Low Risk</v>
      </c>
      <c r="K139" t="str">
        <f t="shared" si="9"/>
        <v>Adult</v>
      </c>
      <c r="L139" t="str">
        <f t="shared" si="10"/>
        <v>Medium</v>
      </c>
      <c r="M139" t="str">
        <f t="shared" si="11"/>
        <v>Low Risk</v>
      </c>
    </row>
    <row r="140" spans="1:13" x14ac:dyDescent="0.3">
      <c r="A140">
        <v>35</v>
      </c>
      <c r="B140" t="s">
        <v>1010</v>
      </c>
      <c r="C140">
        <v>2</v>
      </c>
      <c r="D140" t="s">
        <v>1016</v>
      </c>
      <c r="E140" t="s">
        <v>1011</v>
      </c>
      <c r="F140" t="s">
        <v>1013</v>
      </c>
      <c r="G140" s="5">
        <v>2728</v>
      </c>
      <c r="H140">
        <v>15</v>
      </c>
      <c r="I140" t="s">
        <v>1023</v>
      </c>
      <c r="J140" t="str">
        <f t="shared" si="8"/>
        <v>Low Risk</v>
      </c>
      <c r="K140" t="str">
        <f t="shared" si="9"/>
        <v>Senior</v>
      </c>
      <c r="L140" t="str">
        <f t="shared" si="10"/>
        <v>Medium</v>
      </c>
      <c r="M140" t="str">
        <f t="shared" si="11"/>
        <v>Low Risk</v>
      </c>
    </row>
    <row r="141" spans="1:13" x14ac:dyDescent="0.3">
      <c r="A141">
        <v>44</v>
      </c>
      <c r="B141" t="s">
        <v>1009</v>
      </c>
      <c r="C141">
        <v>1</v>
      </c>
      <c r="D141" t="s">
        <v>1017</v>
      </c>
      <c r="E141" t="s">
        <v>1012</v>
      </c>
      <c r="F141" t="s">
        <v>1008</v>
      </c>
      <c r="G141" s="5">
        <v>1881</v>
      </c>
      <c r="H141">
        <v>12</v>
      </c>
      <c r="I141" t="s">
        <v>1023</v>
      </c>
      <c r="J141" t="str">
        <f t="shared" si="8"/>
        <v>Low Risk</v>
      </c>
      <c r="K141" t="str">
        <f t="shared" si="9"/>
        <v>Senior</v>
      </c>
      <c r="L141" t="str">
        <f t="shared" si="10"/>
        <v>Medium</v>
      </c>
      <c r="M141" t="str">
        <f t="shared" si="11"/>
        <v>Low Risk</v>
      </c>
    </row>
    <row r="142" spans="1:13" x14ac:dyDescent="0.3">
      <c r="A142">
        <v>27</v>
      </c>
      <c r="B142" t="s">
        <v>1010</v>
      </c>
      <c r="C142">
        <v>0</v>
      </c>
      <c r="D142" t="s">
        <v>1016</v>
      </c>
      <c r="E142" t="s">
        <v>1008</v>
      </c>
      <c r="F142" t="s">
        <v>1008</v>
      </c>
      <c r="G142" s="5">
        <v>709</v>
      </c>
      <c r="H142">
        <v>6</v>
      </c>
      <c r="I142" t="s">
        <v>1019</v>
      </c>
      <c r="J142" t="str">
        <f t="shared" si="8"/>
        <v>Low Risk</v>
      </c>
      <c r="K142" t="str">
        <f t="shared" si="9"/>
        <v>Young</v>
      </c>
      <c r="L142" t="str">
        <f t="shared" si="10"/>
        <v>Short</v>
      </c>
      <c r="M142" t="str">
        <f t="shared" si="11"/>
        <v>Low Risk</v>
      </c>
    </row>
    <row r="143" spans="1:13" x14ac:dyDescent="0.3">
      <c r="A143">
        <v>30</v>
      </c>
      <c r="B143" t="s">
        <v>1009</v>
      </c>
      <c r="C143">
        <v>3</v>
      </c>
      <c r="D143" t="s">
        <v>1016</v>
      </c>
      <c r="E143" t="s">
        <v>1012</v>
      </c>
      <c r="F143" t="s">
        <v>1013</v>
      </c>
      <c r="G143" s="5">
        <v>4795</v>
      </c>
      <c r="H143">
        <v>36</v>
      </c>
      <c r="I143" t="s">
        <v>1023</v>
      </c>
      <c r="J143" t="str">
        <f t="shared" si="8"/>
        <v>Medium Risk</v>
      </c>
      <c r="K143" t="str">
        <f t="shared" si="9"/>
        <v>Senior</v>
      </c>
      <c r="L143" t="str">
        <f t="shared" si="10"/>
        <v>Long</v>
      </c>
      <c r="M143" t="str">
        <f t="shared" si="11"/>
        <v>Medium Risk</v>
      </c>
    </row>
    <row r="144" spans="1:13" x14ac:dyDescent="0.3">
      <c r="A144">
        <v>27</v>
      </c>
      <c r="B144" t="s">
        <v>1010</v>
      </c>
      <c r="C144">
        <v>3</v>
      </c>
      <c r="D144" t="s">
        <v>1016</v>
      </c>
      <c r="E144" t="s">
        <v>1012</v>
      </c>
      <c r="F144" t="s">
        <v>1012</v>
      </c>
      <c r="G144" s="5">
        <v>3416</v>
      </c>
      <c r="H144">
        <v>27</v>
      </c>
      <c r="I144" t="s">
        <v>1023</v>
      </c>
      <c r="J144" t="str">
        <f t="shared" si="8"/>
        <v>Low Risk</v>
      </c>
      <c r="K144" t="str">
        <f t="shared" si="9"/>
        <v>Young</v>
      </c>
      <c r="L144" t="str">
        <f t="shared" si="10"/>
        <v>Medium</v>
      </c>
      <c r="M144" t="str">
        <f t="shared" si="11"/>
        <v>Medium Risk</v>
      </c>
    </row>
    <row r="145" spans="1:13" x14ac:dyDescent="0.3">
      <c r="A145">
        <v>22</v>
      </c>
      <c r="B145" t="s">
        <v>1010</v>
      </c>
      <c r="C145">
        <v>2</v>
      </c>
      <c r="D145" t="s">
        <v>1016</v>
      </c>
      <c r="E145" t="s">
        <v>1012</v>
      </c>
      <c r="F145" t="s">
        <v>1012</v>
      </c>
      <c r="G145" s="5">
        <v>2462</v>
      </c>
      <c r="H145">
        <v>18</v>
      </c>
      <c r="I145" t="s">
        <v>1022</v>
      </c>
      <c r="J145" t="str">
        <f t="shared" si="8"/>
        <v>Low Risk</v>
      </c>
      <c r="K145" t="str">
        <f t="shared" si="9"/>
        <v>Young</v>
      </c>
      <c r="L145" t="str">
        <f t="shared" si="10"/>
        <v>Medium</v>
      </c>
      <c r="M145" t="str">
        <f t="shared" si="11"/>
        <v>Low Risk</v>
      </c>
    </row>
    <row r="146" spans="1:13" x14ac:dyDescent="0.3">
      <c r="A146">
        <v>23</v>
      </c>
      <c r="B146" t="s">
        <v>1009</v>
      </c>
      <c r="C146">
        <v>2</v>
      </c>
      <c r="D146" t="s">
        <v>1016</v>
      </c>
      <c r="E146" t="s">
        <v>1012</v>
      </c>
      <c r="F146" t="s">
        <v>1011</v>
      </c>
      <c r="G146" s="5">
        <v>2288</v>
      </c>
      <c r="H146">
        <v>21</v>
      </c>
      <c r="I146" t="s">
        <v>1022</v>
      </c>
      <c r="J146" t="str">
        <f t="shared" si="8"/>
        <v>Low Risk</v>
      </c>
      <c r="K146" t="str">
        <f t="shared" si="9"/>
        <v>Young</v>
      </c>
      <c r="L146" t="str">
        <f t="shared" si="10"/>
        <v>Medium</v>
      </c>
      <c r="M146" t="str">
        <f t="shared" si="11"/>
        <v>Low Risk</v>
      </c>
    </row>
    <row r="147" spans="1:13" x14ac:dyDescent="0.3">
      <c r="A147">
        <v>30</v>
      </c>
      <c r="B147" t="s">
        <v>1010</v>
      </c>
      <c r="C147">
        <v>2</v>
      </c>
      <c r="D147" t="s">
        <v>1016</v>
      </c>
      <c r="E147" t="s">
        <v>1013</v>
      </c>
      <c r="F147" t="s">
        <v>1013</v>
      </c>
      <c r="G147" s="5">
        <v>3566</v>
      </c>
      <c r="H147">
        <v>48</v>
      </c>
      <c r="I147" t="s">
        <v>1018</v>
      </c>
      <c r="J147" t="str">
        <f t="shared" si="8"/>
        <v>High Risk</v>
      </c>
      <c r="K147" t="str">
        <f t="shared" si="9"/>
        <v>Senior</v>
      </c>
      <c r="L147" t="str">
        <f t="shared" si="10"/>
        <v>Long</v>
      </c>
      <c r="M147" t="str">
        <f t="shared" si="11"/>
        <v>Medium Risk</v>
      </c>
    </row>
    <row r="148" spans="1:13" x14ac:dyDescent="0.3">
      <c r="A148">
        <v>39</v>
      </c>
      <c r="B148" t="s">
        <v>1009</v>
      </c>
      <c r="C148">
        <v>2</v>
      </c>
      <c r="D148" t="s">
        <v>1016</v>
      </c>
      <c r="E148" t="s">
        <v>1012</v>
      </c>
      <c r="F148" t="s">
        <v>1012</v>
      </c>
      <c r="G148" s="5">
        <v>860</v>
      </c>
      <c r="H148">
        <v>6</v>
      </c>
      <c r="I148" t="s">
        <v>1019</v>
      </c>
      <c r="J148" t="str">
        <f t="shared" si="8"/>
        <v>Low Risk</v>
      </c>
      <c r="K148" t="str">
        <f t="shared" si="9"/>
        <v>Senior</v>
      </c>
      <c r="L148" t="str">
        <f t="shared" si="10"/>
        <v>Short</v>
      </c>
      <c r="M148" t="str">
        <f t="shared" si="11"/>
        <v>Low Risk</v>
      </c>
    </row>
    <row r="149" spans="1:13" x14ac:dyDescent="0.3">
      <c r="A149">
        <v>51</v>
      </c>
      <c r="B149" t="s">
        <v>1009</v>
      </c>
      <c r="C149">
        <v>2</v>
      </c>
      <c r="D149" t="s">
        <v>1016</v>
      </c>
      <c r="E149" t="s">
        <v>1013</v>
      </c>
      <c r="F149" t="s">
        <v>1011</v>
      </c>
      <c r="G149" s="5">
        <v>682</v>
      </c>
      <c r="H149">
        <v>12</v>
      </c>
      <c r="I149" t="s">
        <v>1019</v>
      </c>
      <c r="J149" t="str">
        <f t="shared" si="8"/>
        <v>Low Risk</v>
      </c>
      <c r="K149" t="str">
        <f t="shared" si="9"/>
        <v>Adult</v>
      </c>
      <c r="L149" t="str">
        <f t="shared" si="10"/>
        <v>Medium</v>
      </c>
      <c r="M149" t="str">
        <f t="shared" si="11"/>
        <v>Low Risk</v>
      </c>
    </row>
    <row r="150" spans="1:13" x14ac:dyDescent="0.3">
      <c r="A150">
        <v>28</v>
      </c>
      <c r="B150" t="s">
        <v>1010</v>
      </c>
      <c r="C150">
        <v>2</v>
      </c>
      <c r="D150" t="s">
        <v>1016</v>
      </c>
      <c r="E150" t="s">
        <v>1012</v>
      </c>
      <c r="F150" t="s">
        <v>1012</v>
      </c>
      <c r="G150" s="5">
        <v>5371</v>
      </c>
      <c r="H150">
        <v>36</v>
      </c>
      <c r="I150" t="s">
        <v>1022</v>
      </c>
      <c r="J150" t="str">
        <f t="shared" si="8"/>
        <v>Medium Risk</v>
      </c>
      <c r="K150" t="str">
        <f t="shared" si="9"/>
        <v>Young</v>
      </c>
      <c r="L150" t="str">
        <f t="shared" si="10"/>
        <v>Long</v>
      </c>
      <c r="M150" t="str">
        <f t="shared" si="11"/>
        <v>Medium Risk</v>
      </c>
    </row>
    <row r="151" spans="1:13" x14ac:dyDescent="0.3">
      <c r="A151">
        <v>46</v>
      </c>
      <c r="B151" t="s">
        <v>1010</v>
      </c>
      <c r="C151">
        <v>2</v>
      </c>
      <c r="D151" t="s">
        <v>1016</v>
      </c>
      <c r="E151" t="s">
        <v>1008</v>
      </c>
      <c r="F151" t="s">
        <v>1011</v>
      </c>
      <c r="G151" s="5">
        <v>1582</v>
      </c>
      <c r="H151">
        <v>18</v>
      </c>
      <c r="I151" t="s">
        <v>1023</v>
      </c>
      <c r="J151" t="str">
        <f t="shared" si="8"/>
        <v>Low Risk</v>
      </c>
      <c r="K151" t="str">
        <f t="shared" si="9"/>
        <v>Senior</v>
      </c>
      <c r="L151" t="str">
        <f t="shared" si="10"/>
        <v>Medium</v>
      </c>
      <c r="M151" t="str">
        <f t="shared" si="11"/>
        <v>Low Risk</v>
      </c>
    </row>
    <row r="152" spans="1:13" x14ac:dyDescent="0.3">
      <c r="A152">
        <v>42</v>
      </c>
      <c r="B152" t="s">
        <v>1010</v>
      </c>
      <c r="C152">
        <v>2</v>
      </c>
      <c r="D152" t="s">
        <v>1015</v>
      </c>
      <c r="E152" t="s">
        <v>1013</v>
      </c>
      <c r="F152" t="s">
        <v>1011</v>
      </c>
      <c r="G152" s="5">
        <v>1346</v>
      </c>
      <c r="H152">
        <v>6</v>
      </c>
      <c r="I152" t="s">
        <v>1023</v>
      </c>
      <c r="J152" t="str">
        <f t="shared" si="8"/>
        <v>Low Risk</v>
      </c>
      <c r="K152" t="str">
        <f t="shared" si="9"/>
        <v>Senior</v>
      </c>
      <c r="L152" t="str">
        <f t="shared" si="10"/>
        <v>Short</v>
      </c>
      <c r="M152" t="str">
        <f t="shared" si="11"/>
        <v>Low Risk</v>
      </c>
    </row>
    <row r="153" spans="1:13" x14ac:dyDescent="0.3">
      <c r="A153">
        <v>38</v>
      </c>
      <c r="B153" t="s">
        <v>1010</v>
      </c>
      <c r="C153">
        <v>2</v>
      </c>
      <c r="D153" t="s">
        <v>1016</v>
      </c>
      <c r="E153" t="s">
        <v>1012</v>
      </c>
      <c r="F153" t="s">
        <v>1011</v>
      </c>
      <c r="G153" s="5">
        <v>1924</v>
      </c>
      <c r="H153">
        <v>10</v>
      </c>
      <c r="I153" t="s">
        <v>1023</v>
      </c>
      <c r="J153" t="str">
        <f t="shared" si="8"/>
        <v>Low Risk</v>
      </c>
      <c r="K153" t="str">
        <f t="shared" si="9"/>
        <v>Senior</v>
      </c>
      <c r="L153" t="str">
        <f t="shared" si="10"/>
        <v>Short</v>
      </c>
      <c r="M153" t="str">
        <f t="shared" si="11"/>
        <v>Low Risk</v>
      </c>
    </row>
    <row r="154" spans="1:13" x14ac:dyDescent="0.3">
      <c r="A154">
        <v>24</v>
      </c>
      <c r="B154" t="s">
        <v>1010</v>
      </c>
      <c r="C154">
        <v>2</v>
      </c>
      <c r="D154" t="s">
        <v>1016</v>
      </c>
      <c r="E154" t="s">
        <v>1012</v>
      </c>
      <c r="F154" t="s">
        <v>1008</v>
      </c>
      <c r="G154" s="5">
        <v>5848</v>
      </c>
      <c r="H154">
        <v>36</v>
      </c>
      <c r="I154" t="s">
        <v>1023</v>
      </c>
      <c r="J154" t="str">
        <f t="shared" si="8"/>
        <v>Medium Risk</v>
      </c>
      <c r="K154" t="str">
        <f t="shared" si="9"/>
        <v>Young</v>
      </c>
      <c r="L154" t="str">
        <f t="shared" si="10"/>
        <v>Long</v>
      </c>
      <c r="M154" t="str">
        <f t="shared" si="11"/>
        <v>Medium Risk</v>
      </c>
    </row>
    <row r="155" spans="1:13" x14ac:dyDescent="0.3">
      <c r="A155">
        <v>29</v>
      </c>
      <c r="B155" t="s">
        <v>1009</v>
      </c>
      <c r="C155">
        <v>2</v>
      </c>
      <c r="D155" t="s">
        <v>1017</v>
      </c>
      <c r="E155" t="s">
        <v>1008</v>
      </c>
      <c r="F155" t="s">
        <v>1013</v>
      </c>
      <c r="G155" s="5">
        <v>7758</v>
      </c>
      <c r="H155">
        <v>24</v>
      </c>
      <c r="I155" t="s">
        <v>1019</v>
      </c>
      <c r="J155" t="str">
        <f t="shared" si="8"/>
        <v>High Risk</v>
      </c>
      <c r="K155" t="str">
        <f t="shared" si="9"/>
        <v>Young</v>
      </c>
      <c r="L155" t="str">
        <f t="shared" si="10"/>
        <v>Medium</v>
      </c>
      <c r="M155" t="str">
        <f t="shared" si="11"/>
        <v>HighRisk</v>
      </c>
    </row>
    <row r="156" spans="1:13" x14ac:dyDescent="0.3">
      <c r="A156">
        <v>36</v>
      </c>
      <c r="B156" t="s">
        <v>1010</v>
      </c>
      <c r="C156">
        <v>3</v>
      </c>
      <c r="D156" t="s">
        <v>1017</v>
      </c>
      <c r="E156" t="s">
        <v>1013</v>
      </c>
      <c r="F156" t="s">
        <v>1013</v>
      </c>
      <c r="G156" s="5">
        <v>6967</v>
      </c>
      <c r="H156">
        <v>24</v>
      </c>
      <c r="I156" t="s">
        <v>1018</v>
      </c>
      <c r="J156" t="str">
        <f t="shared" si="8"/>
        <v>Low Risk</v>
      </c>
      <c r="K156" t="str">
        <f t="shared" si="9"/>
        <v>Senior</v>
      </c>
      <c r="L156" t="str">
        <f t="shared" si="10"/>
        <v>Medium</v>
      </c>
      <c r="M156" t="str">
        <f t="shared" si="11"/>
        <v>HighRisk</v>
      </c>
    </row>
    <row r="157" spans="1:13" x14ac:dyDescent="0.3">
      <c r="A157">
        <v>20</v>
      </c>
      <c r="B157" t="s">
        <v>1009</v>
      </c>
      <c r="C157">
        <v>2</v>
      </c>
      <c r="D157" t="s">
        <v>1017</v>
      </c>
      <c r="E157" t="s">
        <v>1012</v>
      </c>
      <c r="F157" t="s">
        <v>1012</v>
      </c>
      <c r="G157" s="5">
        <v>1282</v>
      </c>
      <c r="H157">
        <v>12</v>
      </c>
      <c r="I157" t="s">
        <v>1022</v>
      </c>
      <c r="J157" t="str">
        <f t="shared" si="8"/>
        <v>Low Risk</v>
      </c>
      <c r="K157" t="str">
        <f t="shared" si="9"/>
        <v>Young</v>
      </c>
      <c r="L157" t="str">
        <f t="shared" si="10"/>
        <v>Medium</v>
      </c>
      <c r="M157" t="str">
        <f t="shared" si="11"/>
        <v>Low Risk</v>
      </c>
    </row>
    <row r="158" spans="1:13" x14ac:dyDescent="0.3">
      <c r="A158">
        <v>48</v>
      </c>
      <c r="B158" t="s">
        <v>1010</v>
      </c>
      <c r="C158">
        <v>2</v>
      </c>
      <c r="D158" t="s">
        <v>1016</v>
      </c>
      <c r="E158" t="s">
        <v>1013</v>
      </c>
      <c r="F158" t="s">
        <v>1012</v>
      </c>
      <c r="G158" s="5">
        <v>1288</v>
      </c>
      <c r="H158">
        <v>9</v>
      </c>
      <c r="I158" t="s">
        <v>1024</v>
      </c>
      <c r="J158" t="str">
        <f t="shared" si="8"/>
        <v>Low Risk</v>
      </c>
      <c r="K158" t="str">
        <f t="shared" si="9"/>
        <v>Senior</v>
      </c>
      <c r="L158" t="str">
        <f t="shared" si="10"/>
        <v>Short</v>
      </c>
      <c r="M158" t="str">
        <f t="shared" si="11"/>
        <v>Low Risk</v>
      </c>
    </row>
    <row r="159" spans="1:13" x14ac:dyDescent="0.3">
      <c r="A159">
        <v>45</v>
      </c>
      <c r="B159" t="s">
        <v>1010</v>
      </c>
      <c r="C159">
        <v>1</v>
      </c>
      <c r="D159" t="s">
        <v>1016</v>
      </c>
      <c r="E159" t="s">
        <v>1012</v>
      </c>
      <c r="F159" t="s">
        <v>1012</v>
      </c>
      <c r="G159" s="5">
        <v>339</v>
      </c>
      <c r="H159">
        <v>12</v>
      </c>
      <c r="I159" t="s">
        <v>1021</v>
      </c>
      <c r="J159" t="str">
        <f t="shared" si="8"/>
        <v>Low Risk</v>
      </c>
      <c r="K159" t="str">
        <f t="shared" si="9"/>
        <v>Senior</v>
      </c>
      <c r="L159" t="str">
        <f t="shared" si="10"/>
        <v>Medium</v>
      </c>
      <c r="M159" t="str">
        <f t="shared" si="11"/>
        <v>Low Risk</v>
      </c>
    </row>
    <row r="160" spans="1:13" x14ac:dyDescent="0.3">
      <c r="A160">
        <v>38</v>
      </c>
      <c r="B160" t="s">
        <v>1010</v>
      </c>
      <c r="C160">
        <v>2</v>
      </c>
      <c r="D160" t="s">
        <v>1016</v>
      </c>
      <c r="E160" t="s">
        <v>1013</v>
      </c>
      <c r="F160" t="s">
        <v>1013</v>
      </c>
      <c r="G160" s="5">
        <v>3512</v>
      </c>
      <c r="H160">
        <v>24</v>
      </c>
      <c r="I160" t="s">
        <v>1019</v>
      </c>
      <c r="J160" t="str">
        <f t="shared" si="8"/>
        <v>Low Risk</v>
      </c>
      <c r="K160" t="str">
        <f t="shared" si="9"/>
        <v>Senior</v>
      </c>
      <c r="L160" t="str">
        <f t="shared" si="10"/>
        <v>Medium</v>
      </c>
      <c r="M160" t="str">
        <f t="shared" si="11"/>
        <v>Medium Risk</v>
      </c>
    </row>
    <row r="161" spans="1:13" x14ac:dyDescent="0.3">
      <c r="A161">
        <v>34</v>
      </c>
      <c r="B161" t="s">
        <v>1010</v>
      </c>
      <c r="C161">
        <v>1</v>
      </c>
      <c r="D161" t="s">
        <v>1016</v>
      </c>
      <c r="E161" t="s">
        <v>1011</v>
      </c>
      <c r="F161" t="s">
        <v>1011</v>
      </c>
      <c r="G161" s="5">
        <v>1898</v>
      </c>
      <c r="H161">
        <v>6</v>
      </c>
      <c r="I161" t="s">
        <v>1023</v>
      </c>
      <c r="J161" t="str">
        <f t="shared" si="8"/>
        <v>Low Risk</v>
      </c>
      <c r="K161" t="str">
        <f t="shared" si="9"/>
        <v>Senior</v>
      </c>
      <c r="L161" t="str">
        <f t="shared" si="10"/>
        <v>Short</v>
      </c>
      <c r="M161" t="str">
        <f t="shared" si="11"/>
        <v>Low Risk</v>
      </c>
    </row>
    <row r="162" spans="1:13" x14ac:dyDescent="0.3">
      <c r="A162">
        <v>36</v>
      </c>
      <c r="B162" t="s">
        <v>1010</v>
      </c>
      <c r="C162">
        <v>2</v>
      </c>
      <c r="D162" t="s">
        <v>1016</v>
      </c>
      <c r="E162" t="s">
        <v>1013</v>
      </c>
      <c r="F162" t="s">
        <v>1011</v>
      </c>
      <c r="G162" s="5">
        <v>2872</v>
      </c>
      <c r="H162">
        <v>24</v>
      </c>
      <c r="I162" t="s">
        <v>1023</v>
      </c>
      <c r="J162" t="str">
        <f t="shared" si="8"/>
        <v>Low Risk</v>
      </c>
      <c r="K162" t="str">
        <f t="shared" si="9"/>
        <v>Senior</v>
      </c>
      <c r="L162" t="str">
        <f t="shared" si="10"/>
        <v>Medium</v>
      </c>
      <c r="M162" t="str">
        <f t="shared" si="11"/>
        <v>Low Risk</v>
      </c>
    </row>
    <row r="163" spans="1:13" x14ac:dyDescent="0.3">
      <c r="A163">
        <v>30</v>
      </c>
      <c r="B163" t="s">
        <v>1009</v>
      </c>
      <c r="C163">
        <v>2</v>
      </c>
      <c r="D163" t="s">
        <v>1016</v>
      </c>
      <c r="E163" t="s">
        <v>1012</v>
      </c>
      <c r="F163" t="s">
        <v>1011</v>
      </c>
      <c r="G163" s="5">
        <v>1055</v>
      </c>
      <c r="H163">
        <v>18</v>
      </c>
      <c r="I163" t="s">
        <v>1019</v>
      </c>
      <c r="J163" t="str">
        <f t="shared" si="8"/>
        <v>Low Risk</v>
      </c>
      <c r="K163" t="str">
        <f t="shared" si="9"/>
        <v>Senior</v>
      </c>
      <c r="L163" t="str">
        <f t="shared" si="10"/>
        <v>Medium</v>
      </c>
      <c r="M163" t="str">
        <f t="shared" si="11"/>
        <v>Low Risk</v>
      </c>
    </row>
    <row r="164" spans="1:13" x14ac:dyDescent="0.3">
      <c r="A164">
        <v>36</v>
      </c>
      <c r="B164" t="s">
        <v>1010</v>
      </c>
      <c r="C164">
        <v>2</v>
      </c>
      <c r="D164" t="s">
        <v>1016</v>
      </c>
      <c r="E164" t="s">
        <v>1014</v>
      </c>
      <c r="F164" t="s">
        <v>1011</v>
      </c>
      <c r="G164" s="5">
        <v>1262</v>
      </c>
      <c r="H164">
        <v>15</v>
      </c>
      <c r="I164" t="s">
        <v>1020</v>
      </c>
      <c r="J164" t="str">
        <f t="shared" si="8"/>
        <v>Low Risk</v>
      </c>
      <c r="K164" t="str">
        <f t="shared" si="9"/>
        <v>Senior</v>
      </c>
      <c r="L164" t="str">
        <f t="shared" si="10"/>
        <v>Medium</v>
      </c>
      <c r="M164" t="str">
        <f t="shared" si="11"/>
        <v>Low Risk</v>
      </c>
    </row>
    <row r="165" spans="1:13" x14ac:dyDescent="0.3">
      <c r="A165">
        <v>70</v>
      </c>
      <c r="B165" t="s">
        <v>1010</v>
      </c>
      <c r="C165">
        <v>3</v>
      </c>
      <c r="D165" t="s">
        <v>1015</v>
      </c>
      <c r="E165" t="s">
        <v>1012</v>
      </c>
      <c r="F165" t="s">
        <v>1013</v>
      </c>
      <c r="G165" s="5">
        <v>7308</v>
      </c>
      <c r="H165">
        <v>10</v>
      </c>
      <c r="I165" t="s">
        <v>1019</v>
      </c>
      <c r="J165" t="str">
        <f t="shared" si="8"/>
        <v>High Risk</v>
      </c>
      <c r="K165" t="str">
        <f t="shared" si="9"/>
        <v>Adult</v>
      </c>
      <c r="L165" t="str">
        <f t="shared" si="10"/>
        <v>Short</v>
      </c>
      <c r="M165" t="str">
        <f t="shared" si="11"/>
        <v>HighRisk</v>
      </c>
    </row>
    <row r="166" spans="1:13" x14ac:dyDescent="0.3">
      <c r="A166">
        <v>36</v>
      </c>
      <c r="B166" t="s">
        <v>1010</v>
      </c>
      <c r="C166">
        <v>2</v>
      </c>
      <c r="D166" t="s">
        <v>1016</v>
      </c>
      <c r="E166" t="s">
        <v>1014</v>
      </c>
      <c r="F166" t="s">
        <v>1011</v>
      </c>
      <c r="G166" s="5">
        <v>909</v>
      </c>
      <c r="H166">
        <v>36</v>
      </c>
      <c r="I166" t="s">
        <v>1019</v>
      </c>
      <c r="J166" t="str">
        <f t="shared" si="8"/>
        <v>Low Risk</v>
      </c>
      <c r="K166" t="str">
        <f t="shared" si="9"/>
        <v>Senior</v>
      </c>
      <c r="L166" t="str">
        <f t="shared" si="10"/>
        <v>Long</v>
      </c>
      <c r="M166" t="str">
        <f t="shared" si="11"/>
        <v>Low Risk</v>
      </c>
    </row>
    <row r="167" spans="1:13" x14ac:dyDescent="0.3">
      <c r="A167">
        <v>32</v>
      </c>
      <c r="B167" t="s">
        <v>1010</v>
      </c>
      <c r="C167">
        <v>2</v>
      </c>
      <c r="D167" t="s">
        <v>1016</v>
      </c>
      <c r="E167" t="s">
        <v>1014</v>
      </c>
      <c r="F167" t="s">
        <v>1011</v>
      </c>
      <c r="G167" s="5">
        <v>2978</v>
      </c>
      <c r="H167">
        <v>6</v>
      </c>
      <c r="I167" t="s">
        <v>1022</v>
      </c>
      <c r="J167" t="str">
        <f t="shared" si="8"/>
        <v>Low Risk</v>
      </c>
      <c r="K167" t="str">
        <f t="shared" si="9"/>
        <v>Senior</v>
      </c>
      <c r="L167" t="str">
        <f t="shared" si="10"/>
        <v>Short</v>
      </c>
      <c r="M167" t="str">
        <f t="shared" si="11"/>
        <v>Low Risk</v>
      </c>
    </row>
    <row r="168" spans="1:13" x14ac:dyDescent="0.3">
      <c r="A168">
        <v>33</v>
      </c>
      <c r="B168" t="s">
        <v>1009</v>
      </c>
      <c r="C168">
        <v>2</v>
      </c>
      <c r="D168" t="s">
        <v>1016</v>
      </c>
      <c r="E168" t="s">
        <v>1012</v>
      </c>
      <c r="F168" t="s">
        <v>1012</v>
      </c>
      <c r="G168" s="5">
        <v>1131</v>
      </c>
      <c r="H168">
        <v>18</v>
      </c>
      <c r="I168" t="s">
        <v>1022</v>
      </c>
      <c r="J168" t="str">
        <f t="shared" si="8"/>
        <v>Low Risk</v>
      </c>
      <c r="K168" t="str">
        <f t="shared" si="9"/>
        <v>Senior</v>
      </c>
      <c r="L168" t="str">
        <f t="shared" si="10"/>
        <v>Medium</v>
      </c>
      <c r="M168" t="str">
        <f t="shared" si="11"/>
        <v>Low Risk</v>
      </c>
    </row>
    <row r="169" spans="1:13" x14ac:dyDescent="0.3">
      <c r="A169">
        <v>20</v>
      </c>
      <c r="B169" t="s">
        <v>1009</v>
      </c>
      <c r="C169">
        <v>2</v>
      </c>
      <c r="D169" t="s">
        <v>1016</v>
      </c>
      <c r="E169" t="s">
        <v>1008</v>
      </c>
      <c r="F169" t="s">
        <v>1013</v>
      </c>
      <c r="G169" s="5">
        <v>1577</v>
      </c>
      <c r="H169">
        <v>11</v>
      </c>
      <c r="I169" t="s">
        <v>1022</v>
      </c>
      <c r="J169" t="str">
        <f t="shared" si="8"/>
        <v>Low Risk</v>
      </c>
      <c r="K169" t="str">
        <f t="shared" si="9"/>
        <v>Young</v>
      </c>
      <c r="L169" t="str">
        <f t="shared" si="10"/>
        <v>Short</v>
      </c>
      <c r="M169" t="str">
        <f t="shared" si="11"/>
        <v>Low Risk</v>
      </c>
    </row>
    <row r="170" spans="1:13" x14ac:dyDescent="0.3">
      <c r="A170">
        <v>25</v>
      </c>
      <c r="B170" t="s">
        <v>1009</v>
      </c>
      <c r="C170">
        <v>2</v>
      </c>
      <c r="D170" t="s">
        <v>1017</v>
      </c>
      <c r="E170" t="s">
        <v>1012</v>
      </c>
      <c r="F170" t="s">
        <v>1011</v>
      </c>
      <c r="G170" s="5">
        <v>3972</v>
      </c>
      <c r="H170">
        <v>24</v>
      </c>
      <c r="I170" t="s">
        <v>1022</v>
      </c>
      <c r="J170" t="str">
        <f t="shared" si="8"/>
        <v>Low Risk</v>
      </c>
      <c r="K170" t="str">
        <f t="shared" si="9"/>
        <v>Young</v>
      </c>
      <c r="L170" t="str">
        <f t="shared" si="10"/>
        <v>Medium</v>
      </c>
      <c r="M170" t="str">
        <f t="shared" si="11"/>
        <v>Medium Risk</v>
      </c>
    </row>
    <row r="171" spans="1:13" x14ac:dyDescent="0.3">
      <c r="A171">
        <v>31</v>
      </c>
      <c r="B171" t="s">
        <v>1010</v>
      </c>
      <c r="C171">
        <v>2</v>
      </c>
      <c r="D171" t="s">
        <v>1016</v>
      </c>
      <c r="E171" t="s">
        <v>1012</v>
      </c>
      <c r="F171" t="s">
        <v>1013</v>
      </c>
      <c r="G171" s="5">
        <v>1935</v>
      </c>
      <c r="H171">
        <v>24</v>
      </c>
      <c r="I171" t="s">
        <v>1018</v>
      </c>
      <c r="J171" t="str">
        <f t="shared" si="8"/>
        <v>Low Risk</v>
      </c>
      <c r="K171" t="str">
        <f t="shared" si="9"/>
        <v>Senior</v>
      </c>
      <c r="L171" t="str">
        <f t="shared" si="10"/>
        <v>Medium</v>
      </c>
      <c r="M171" t="str">
        <f t="shared" si="11"/>
        <v>Low Risk</v>
      </c>
    </row>
    <row r="172" spans="1:13" x14ac:dyDescent="0.3">
      <c r="A172">
        <v>33</v>
      </c>
      <c r="B172" t="s">
        <v>1010</v>
      </c>
      <c r="C172">
        <v>2</v>
      </c>
      <c r="D172" t="s">
        <v>1017</v>
      </c>
      <c r="E172" t="s">
        <v>1012</v>
      </c>
      <c r="F172" t="s">
        <v>1012</v>
      </c>
      <c r="G172" s="5">
        <v>950</v>
      </c>
      <c r="H172">
        <v>15</v>
      </c>
      <c r="I172" t="s">
        <v>1019</v>
      </c>
      <c r="J172" t="str">
        <f t="shared" si="8"/>
        <v>Low Risk</v>
      </c>
      <c r="K172" t="str">
        <f t="shared" si="9"/>
        <v>Senior</v>
      </c>
      <c r="L172" t="str">
        <f t="shared" si="10"/>
        <v>Medium</v>
      </c>
      <c r="M172" t="str">
        <f t="shared" si="11"/>
        <v>Low Risk</v>
      </c>
    </row>
    <row r="173" spans="1:13" x14ac:dyDescent="0.3">
      <c r="A173">
        <v>26</v>
      </c>
      <c r="B173" t="s">
        <v>1009</v>
      </c>
      <c r="C173">
        <v>2</v>
      </c>
      <c r="D173" t="s">
        <v>1016</v>
      </c>
      <c r="E173" t="s">
        <v>1012</v>
      </c>
      <c r="F173" t="s">
        <v>1011</v>
      </c>
      <c r="G173" s="5">
        <v>763</v>
      </c>
      <c r="H173">
        <v>12</v>
      </c>
      <c r="I173" t="s">
        <v>1022</v>
      </c>
      <c r="J173" t="str">
        <f t="shared" si="8"/>
        <v>Low Risk</v>
      </c>
      <c r="K173" t="str">
        <f t="shared" si="9"/>
        <v>Young</v>
      </c>
      <c r="L173" t="str">
        <f t="shared" si="10"/>
        <v>Medium</v>
      </c>
      <c r="M173" t="str">
        <f t="shared" si="11"/>
        <v>Low Risk</v>
      </c>
    </row>
    <row r="174" spans="1:13" x14ac:dyDescent="0.3">
      <c r="A174">
        <v>34</v>
      </c>
      <c r="B174" t="s">
        <v>1009</v>
      </c>
      <c r="C174">
        <v>3</v>
      </c>
      <c r="D174" t="s">
        <v>1016</v>
      </c>
      <c r="E174" t="s">
        <v>1012</v>
      </c>
      <c r="F174" t="s">
        <v>1013</v>
      </c>
      <c r="G174" s="5">
        <v>2064</v>
      </c>
      <c r="H174">
        <v>24</v>
      </c>
      <c r="I174" t="s">
        <v>1022</v>
      </c>
      <c r="J174" t="str">
        <f t="shared" si="8"/>
        <v>Low Risk</v>
      </c>
      <c r="K174" t="str">
        <f t="shared" si="9"/>
        <v>Senior</v>
      </c>
      <c r="L174" t="str">
        <f t="shared" si="10"/>
        <v>Medium</v>
      </c>
      <c r="M174" t="str">
        <f t="shared" si="11"/>
        <v>Low Risk</v>
      </c>
    </row>
    <row r="175" spans="1:13" x14ac:dyDescent="0.3">
      <c r="A175">
        <v>33</v>
      </c>
      <c r="B175" t="s">
        <v>1010</v>
      </c>
      <c r="C175">
        <v>2</v>
      </c>
      <c r="D175" t="s">
        <v>1016</v>
      </c>
      <c r="E175" t="s">
        <v>1012</v>
      </c>
      <c r="F175" t="s">
        <v>1013</v>
      </c>
      <c r="G175" s="5">
        <v>1414</v>
      </c>
      <c r="H175">
        <v>8</v>
      </c>
      <c r="I175" t="s">
        <v>1023</v>
      </c>
      <c r="J175" t="str">
        <f t="shared" si="8"/>
        <v>Low Risk</v>
      </c>
      <c r="K175" t="str">
        <f t="shared" si="9"/>
        <v>Senior</v>
      </c>
      <c r="L175" t="str">
        <f t="shared" si="10"/>
        <v>Short</v>
      </c>
      <c r="M175" t="str">
        <f t="shared" si="11"/>
        <v>Low Risk</v>
      </c>
    </row>
    <row r="176" spans="1:13" x14ac:dyDescent="0.3">
      <c r="A176">
        <v>26</v>
      </c>
      <c r="B176" t="s">
        <v>1010</v>
      </c>
      <c r="C176">
        <v>2</v>
      </c>
      <c r="D176" t="s">
        <v>1016</v>
      </c>
      <c r="E176" t="s">
        <v>1012</v>
      </c>
      <c r="F176" t="s">
        <v>1012</v>
      </c>
      <c r="G176" s="5">
        <v>3414</v>
      </c>
      <c r="H176">
        <v>21</v>
      </c>
      <c r="I176" t="s">
        <v>1021</v>
      </c>
      <c r="J176" t="str">
        <f t="shared" si="8"/>
        <v>Low Risk</v>
      </c>
      <c r="K176" t="str">
        <f t="shared" si="9"/>
        <v>Young</v>
      </c>
      <c r="L176" t="str">
        <f t="shared" si="10"/>
        <v>Medium</v>
      </c>
      <c r="M176" t="str">
        <f t="shared" si="11"/>
        <v>Medium Risk</v>
      </c>
    </row>
    <row r="177" spans="1:13" x14ac:dyDescent="0.3">
      <c r="A177">
        <v>53</v>
      </c>
      <c r="B177" t="s">
        <v>1009</v>
      </c>
      <c r="C177">
        <v>3</v>
      </c>
      <c r="D177" t="s">
        <v>1016</v>
      </c>
      <c r="E177" t="s">
        <v>1011</v>
      </c>
      <c r="F177" t="s">
        <v>1011</v>
      </c>
      <c r="G177" s="5">
        <v>7485</v>
      </c>
      <c r="H177">
        <v>30</v>
      </c>
      <c r="I177" t="s">
        <v>1019</v>
      </c>
      <c r="J177" t="str">
        <f t="shared" si="8"/>
        <v>High Risk</v>
      </c>
      <c r="K177" t="str">
        <f t="shared" si="9"/>
        <v>Adult</v>
      </c>
      <c r="L177" t="str">
        <f t="shared" si="10"/>
        <v>Medium</v>
      </c>
      <c r="M177" t="str">
        <f t="shared" si="11"/>
        <v>HighRisk</v>
      </c>
    </row>
    <row r="178" spans="1:13" x14ac:dyDescent="0.3">
      <c r="A178">
        <v>42</v>
      </c>
      <c r="B178" t="s">
        <v>1010</v>
      </c>
      <c r="C178">
        <v>2</v>
      </c>
      <c r="D178" t="s">
        <v>1016</v>
      </c>
      <c r="E178" t="s">
        <v>1012</v>
      </c>
      <c r="F178" t="s">
        <v>1012</v>
      </c>
      <c r="G178" s="5">
        <v>2577</v>
      </c>
      <c r="H178">
        <v>12</v>
      </c>
      <c r="I178" t="s">
        <v>1022</v>
      </c>
      <c r="J178" t="str">
        <f t="shared" si="8"/>
        <v>Low Risk</v>
      </c>
      <c r="K178" t="str">
        <f t="shared" si="9"/>
        <v>Senior</v>
      </c>
      <c r="L178" t="str">
        <f t="shared" si="10"/>
        <v>Medium</v>
      </c>
      <c r="M178" t="str">
        <f t="shared" si="11"/>
        <v>Low Risk</v>
      </c>
    </row>
    <row r="179" spans="1:13" x14ac:dyDescent="0.3">
      <c r="A179">
        <v>52</v>
      </c>
      <c r="B179" t="s">
        <v>1010</v>
      </c>
      <c r="C179">
        <v>2</v>
      </c>
      <c r="D179" t="s">
        <v>1016</v>
      </c>
      <c r="E179" t="s">
        <v>1014</v>
      </c>
      <c r="F179" t="s">
        <v>1012</v>
      </c>
      <c r="G179" s="5">
        <v>338</v>
      </c>
      <c r="H179">
        <v>6</v>
      </c>
      <c r="I179" t="s">
        <v>1023</v>
      </c>
      <c r="J179" t="str">
        <f t="shared" si="8"/>
        <v>Low Risk</v>
      </c>
      <c r="K179" t="str">
        <f t="shared" si="9"/>
        <v>Adult</v>
      </c>
      <c r="L179" t="str">
        <f t="shared" si="10"/>
        <v>Short</v>
      </c>
      <c r="M179" t="str">
        <f t="shared" si="11"/>
        <v>Low Risk</v>
      </c>
    </row>
    <row r="180" spans="1:13" x14ac:dyDescent="0.3">
      <c r="A180">
        <v>31</v>
      </c>
      <c r="B180" t="s">
        <v>1010</v>
      </c>
      <c r="C180">
        <v>3</v>
      </c>
      <c r="D180" t="s">
        <v>1017</v>
      </c>
      <c r="E180" t="s">
        <v>1012</v>
      </c>
      <c r="F180" t="s">
        <v>1011</v>
      </c>
      <c r="G180" s="5">
        <v>1963</v>
      </c>
      <c r="H180">
        <v>12</v>
      </c>
      <c r="I180" t="s">
        <v>1023</v>
      </c>
      <c r="J180" t="str">
        <f t="shared" si="8"/>
        <v>Low Risk</v>
      </c>
      <c r="K180" t="str">
        <f t="shared" si="9"/>
        <v>Senior</v>
      </c>
      <c r="L180" t="str">
        <f t="shared" si="10"/>
        <v>Medium</v>
      </c>
      <c r="M180" t="str">
        <f t="shared" si="11"/>
        <v>Low Risk</v>
      </c>
    </row>
    <row r="181" spans="1:13" x14ac:dyDescent="0.3">
      <c r="A181">
        <v>65</v>
      </c>
      <c r="B181" t="s">
        <v>1010</v>
      </c>
      <c r="C181">
        <v>2</v>
      </c>
      <c r="D181" t="s">
        <v>1016</v>
      </c>
      <c r="E181" t="s">
        <v>1012</v>
      </c>
      <c r="F181" t="s">
        <v>1012</v>
      </c>
      <c r="G181" s="5">
        <v>571</v>
      </c>
      <c r="H181">
        <v>21</v>
      </c>
      <c r="I181" t="s">
        <v>1019</v>
      </c>
      <c r="J181" t="str">
        <f t="shared" si="8"/>
        <v>Low Risk</v>
      </c>
      <c r="K181" t="str">
        <f t="shared" si="9"/>
        <v>Adult</v>
      </c>
      <c r="L181" t="str">
        <f t="shared" si="10"/>
        <v>Medium</v>
      </c>
      <c r="M181" t="str">
        <f t="shared" si="11"/>
        <v>Low Risk</v>
      </c>
    </row>
    <row r="182" spans="1:13" x14ac:dyDescent="0.3">
      <c r="A182">
        <v>28</v>
      </c>
      <c r="B182" t="s">
        <v>1010</v>
      </c>
      <c r="C182">
        <v>2</v>
      </c>
      <c r="D182" t="s">
        <v>1016</v>
      </c>
      <c r="E182" t="s">
        <v>1012</v>
      </c>
      <c r="F182" t="s">
        <v>1011</v>
      </c>
      <c r="G182" s="5">
        <v>9572</v>
      </c>
      <c r="H182">
        <v>36</v>
      </c>
      <c r="I182" t="s">
        <v>1018</v>
      </c>
      <c r="J182" t="str">
        <f t="shared" si="8"/>
        <v>High Risk</v>
      </c>
      <c r="K182" t="str">
        <f t="shared" si="9"/>
        <v>Young</v>
      </c>
      <c r="L182" t="str">
        <f t="shared" si="10"/>
        <v>Long</v>
      </c>
      <c r="M182" t="str">
        <f t="shared" si="11"/>
        <v>HighRisk</v>
      </c>
    </row>
    <row r="183" spans="1:13" x14ac:dyDescent="0.3">
      <c r="A183">
        <v>30</v>
      </c>
      <c r="B183" t="s">
        <v>1010</v>
      </c>
      <c r="C183">
        <v>3</v>
      </c>
      <c r="D183" t="s">
        <v>1016</v>
      </c>
      <c r="E183" t="s">
        <v>1012</v>
      </c>
      <c r="F183" t="s">
        <v>1013</v>
      </c>
      <c r="G183" s="5">
        <v>4455</v>
      </c>
      <c r="H183">
        <v>36</v>
      </c>
      <c r="I183" t="s">
        <v>1018</v>
      </c>
      <c r="J183" t="str">
        <f t="shared" si="8"/>
        <v>Medium Risk</v>
      </c>
      <c r="K183" t="str">
        <f t="shared" si="9"/>
        <v>Senior</v>
      </c>
      <c r="L183" t="str">
        <f t="shared" si="10"/>
        <v>Long</v>
      </c>
      <c r="M183" t="str">
        <f t="shared" si="11"/>
        <v>Medium Risk</v>
      </c>
    </row>
    <row r="184" spans="1:13" x14ac:dyDescent="0.3">
      <c r="A184">
        <v>40</v>
      </c>
      <c r="B184" t="s">
        <v>1010</v>
      </c>
      <c r="C184">
        <v>1</v>
      </c>
      <c r="D184" t="s">
        <v>1016</v>
      </c>
      <c r="E184" t="s">
        <v>1011</v>
      </c>
      <c r="F184" t="s">
        <v>1012</v>
      </c>
      <c r="G184" s="5">
        <v>1647</v>
      </c>
      <c r="H184">
        <v>21</v>
      </c>
      <c r="I184" t="s">
        <v>1019</v>
      </c>
      <c r="J184" t="str">
        <f t="shared" si="8"/>
        <v>Low Risk</v>
      </c>
      <c r="K184" t="str">
        <f t="shared" si="9"/>
        <v>Senior</v>
      </c>
      <c r="L184" t="str">
        <f t="shared" si="10"/>
        <v>Medium</v>
      </c>
      <c r="M184" t="str">
        <f t="shared" si="11"/>
        <v>Low Risk</v>
      </c>
    </row>
    <row r="185" spans="1:13" x14ac:dyDescent="0.3">
      <c r="A185">
        <v>50</v>
      </c>
      <c r="B185" t="s">
        <v>1010</v>
      </c>
      <c r="C185">
        <v>2</v>
      </c>
      <c r="D185" t="s">
        <v>1016</v>
      </c>
      <c r="E185" t="s">
        <v>1008</v>
      </c>
      <c r="F185" t="s">
        <v>1011</v>
      </c>
      <c r="G185" s="5">
        <v>3777</v>
      </c>
      <c r="H185">
        <v>24</v>
      </c>
      <c r="I185" t="s">
        <v>1022</v>
      </c>
      <c r="J185" t="str">
        <f t="shared" si="8"/>
        <v>Low Risk</v>
      </c>
      <c r="K185" t="str">
        <f t="shared" si="9"/>
        <v>Senior</v>
      </c>
      <c r="L185" t="str">
        <f t="shared" si="10"/>
        <v>Medium</v>
      </c>
      <c r="M185" t="str">
        <f t="shared" si="11"/>
        <v>Medium Risk</v>
      </c>
    </row>
    <row r="186" spans="1:13" x14ac:dyDescent="0.3">
      <c r="A186">
        <v>36</v>
      </c>
      <c r="B186" t="s">
        <v>1010</v>
      </c>
      <c r="C186">
        <v>2</v>
      </c>
      <c r="D186" t="s">
        <v>1016</v>
      </c>
      <c r="E186" t="s">
        <v>1012</v>
      </c>
      <c r="F186" t="s">
        <v>1013</v>
      </c>
      <c r="G186" s="5">
        <v>884</v>
      </c>
      <c r="H186">
        <v>18</v>
      </c>
      <c r="I186" t="s">
        <v>1019</v>
      </c>
      <c r="J186" t="str">
        <f t="shared" si="8"/>
        <v>Low Risk</v>
      </c>
      <c r="K186" t="str">
        <f t="shared" si="9"/>
        <v>Senior</v>
      </c>
      <c r="L186" t="str">
        <f t="shared" si="10"/>
        <v>Medium</v>
      </c>
      <c r="M186" t="str">
        <f t="shared" si="11"/>
        <v>Low Risk</v>
      </c>
    </row>
    <row r="187" spans="1:13" x14ac:dyDescent="0.3">
      <c r="A187">
        <v>31</v>
      </c>
      <c r="B187" t="s">
        <v>1010</v>
      </c>
      <c r="C187">
        <v>2</v>
      </c>
      <c r="D187" t="s">
        <v>1016</v>
      </c>
      <c r="E187" t="s">
        <v>1012</v>
      </c>
      <c r="F187" t="s">
        <v>1011</v>
      </c>
      <c r="G187" s="5">
        <v>1360</v>
      </c>
      <c r="H187">
        <v>15</v>
      </c>
      <c r="I187" t="s">
        <v>1023</v>
      </c>
      <c r="J187" t="str">
        <f t="shared" si="8"/>
        <v>Low Risk</v>
      </c>
      <c r="K187" t="str">
        <f t="shared" si="9"/>
        <v>Senior</v>
      </c>
      <c r="L187" t="str">
        <f t="shared" si="10"/>
        <v>Medium</v>
      </c>
      <c r="M187" t="str">
        <f t="shared" si="11"/>
        <v>Low Risk</v>
      </c>
    </row>
    <row r="188" spans="1:13" x14ac:dyDescent="0.3">
      <c r="A188">
        <v>74</v>
      </c>
      <c r="B188" t="s">
        <v>1009</v>
      </c>
      <c r="C188">
        <v>3</v>
      </c>
      <c r="D188" t="s">
        <v>1015</v>
      </c>
      <c r="E188" t="s">
        <v>1012</v>
      </c>
      <c r="F188" t="s">
        <v>1013</v>
      </c>
      <c r="G188" s="5">
        <v>5129</v>
      </c>
      <c r="H188">
        <v>9</v>
      </c>
      <c r="I188" t="s">
        <v>1019</v>
      </c>
      <c r="J188" t="str">
        <f t="shared" si="8"/>
        <v>Low Risk</v>
      </c>
      <c r="K188" t="str">
        <f t="shared" si="9"/>
        <v>Adult</v>
      </c>
      <c r="L188" t="str">
        <f t="shared" si="10"/>
        <v>Short</v>
      </c>
      <c r="M188" t="str">
        <f t="shared" si="11"/>
        <v>Medium Risk</v>
      </c>
    </row>
    <row r="189" spans="1:13" x14ac:dyDescent="0.3">
      <c r="A189">
        <v>68</v>
      </c>
      <c r="B189" t="s">
        <v>1010</v>
      </c>
      <c r="C189">
        <v>0</v>
      </c>
      <c r="D189" t="s">
        <v>1015</v>
      </c>
      <c r="E189" t="s">
        <v>1012</v>
      </c>
      <c r="F189" t="s">
        <v>1013</v>
      </c>
      <c r="G189" s="5">
        <v>1175</v>
      </c>
      <c r="H189">
        <v>16</v>
      </c>
      <c r="I189" t="s">
        <v>1019</v>
      </c>
      <c r="J189" t="str">
        <f t="shared" si="8"/>
        <v>Low Risk</v>
      </c>
      <c r="K189" t="str">
        <f t="shared" si="9"/>
        <v>Adult</v>
      </c>
      <c r="L189" t="str">
        <f t="shared" si="10"/>
        <v>Medium</v>
      </c>
      <c r="M189" t="str">
        <f t="shared" si="11"/>
        <v>Low Risk</v>
      </c>
    </row>
    <row r="190" spans="1:13" x14ac:dyDescent="0.3">
      <c r="A190">
        <v>20</v>
      </c>
      <c r="B190" t="s">
        <v>1010</v>
      </c>
      <c r="C190">
        <v>2</v>
      </c>
      <c r="D190" t="s">
        <v>1016</v>
      </c>
      <c r="E190" t="s">
        <v>1013</v>
      </c>
      <c r="F190" t="s">
        <v>1012</v>
      </c>
      <c r="G190" s="5">
        <v>674</v>
      </c>
      <c r="H190">
        <v>12</v>
      </c>
      <c r="I190" t="s">
        <v>1023</v>
      </c>
      <c r="J190" t="str">
        <f t="shared" si="8"/>
        <v>Low Risk</v>
      </c>
      <c r="K190" t="str">
        <f t="shared" si="9"/>
        <v>Young</v>
      </c>
      <c r="L190" t="str">
        <f t="shared" si="10"/>
        <v>Medium</v>
      </c>
      <c r="M190" t="str">
        <f t="shared" si="11"/>
        <v>Low Risk</v>
      </c>
    </row>
    <row r="191" spans="1:13" x14ac:dyDescent="0.3">
      <c r="A191">
        <v>33</v>
      </c>
      <c r="B191" t="s">
        <v>1009</v>
      </c>
      <c r="C191">
        <v>2</v>
      </c>
      <c r="D191" t="s">
        <v>1016</v>
      </c>
      <c r="E191" t="s">
        <v>1012</v>
      </c>
      <c r="F191" t="s">
        <v>1013</v>
      </c>
      <c r="G191" s="5">
        <v>3244</v>
      </c>
      <c r="H191">
        <v>18</v>
      </c>
      <c r="I191" t="s">
        <v>1022</v>
      </c>
      <c r="J191" t="str">
        <f t="shared" si="8"/>
        <v>Low Risk</v>
      </c>
      <c r="K191" t="str">
        <f t="shared" si="9"/>
        <v>Senior</v>
      </c>
      <c r="L191" t="str">
        <f t="shared" si="10"/>
        <v>Medium</v>
      </c>
      <c r="M191" t="str">
        <f t="shared" si="11"/>
        <v>Medium Risk</v>
      </c>
    </row>
    <row r="192" spans="1:13" x14ac:dyDescent="0.3">
      <c r="A192">
        <v>54</v>
      </c>
      <c r="B192" t="s">
        <v>1010</v>
      </c>
      <c r="C192">
        <v>3</v>
      </c>
      <c r="D192" t="s">
        <v>1016</v>
      </c>
      <c r="E192" t="s">
        <v>1008</v>
      </c>
      <c r="F192" t="s">
        <v>1011</v>
      </c>
      <c r="G192" s="5">
        <v>4591</v>
      </c>
      <c r="H192">
        <v>24</v>
      </c>
      <c r="I192" t="s">
        <v>1018</v>
      </c>
      <c r="J192" t="str">
        <f t="shared" si="8"/>
        <v>Low Risk</v>
      </c>
      <c r="K192" t="str">
        <f t="shared" si="9"/>
        <v>Adult</v>
      </c>
      <c r="L192" t="str">
        <f t="shared" si="10"/>
        <v>Medium</v>
      </c>
      <c r="M192" t="str">
        <f t="shared" si="11"/>
        <v>Medium Risk</v>
      </c>
    </row>
    <row r="193" spans="1:13" x14ac:dyDescent="0.3">
      <c r="A193">
        <v>34</v>
      </c>
      <c r="B193" t="s">
        <v>1010</v>
      </c>
      <c r="C193">
        <v>1</v>
      </c>
      <c r="D193" t="s">
        <v>1015</v>
      </c>
      <c r="E193" t="s">
        <v>1013</v>
      </c>
      <c r="F193" t="s">
        <v>1013</v>
      </c>
      <c r="G193" s="5">
        <v>3844</v>
      </c>
      <c r="H193">
        <v>48</v>
      </c>
      <c r="I193" t="s">
        <v>1018</v>
      </c>
      <c r="J193" t="str">
        <f t="shared" si="8"/>
        <v>High Risk</v>
      </c>
      <c r="K193" t="str">
        <f t="shared" si="9"/>
        <v>Senior</v>
      </c>
      <c r="L193" t="str">
        <f t="shared" si="10"/>
        <v>Long</v>
      </c>
      <c r="M193" t="str">
        <f t="shared" si="11"/>
        <v>Medium Risk</v>
      </c>
    </row>
    <row r="194" spans="1:13" x14ac:dyDescent="0.3">
      <c r="A194">
        <v>36</v>
      </c>
      <c r="B194" t="s">
        <v>1010</v>
      </c>
      <c r="C194">
        <v>2</v>
      </c>
      <c r="D194" t="s">
        <v>1016</v>
      </c>
      <c r="E194" t="s">
        <v>1012</v>
      </c>
      <c r="F194" t="s">
        <v>1013</v>
      </c>
      <c r="G194" s="5">
        <v>3915</v>
      </c>
      <c r="H194">
        <v>27</v>
      </c>
      <c r="I194" t="s">
        <v>1018</v>
      </c>
      <c r="J194" t="str">
        <f t="shared" si="8"/>
        <v>Low Risk</v>
      </c>
      <c r="K194" t="str">
        <f t="shared" si="9"/>
        <v>Senior</v>
      </c>
      <c r="L194" t="str">
        <f t="shared" si="10"/>
        <v>Medium</v>
      </c>
      <c r="M194" t="str">
        <f t="shared" si="11"/>
        <v>Medium Risk</v>
      </c>
    </row>
    <row r="195" spans="1:13" x14ac:dyDescent="0.3">
      <c r="A195">
        <v>29</v>
      </c>
      <c r="B195" t="s">
        <v>1010</v>
      </c>
      <c r="C195">
        <v>2</v>
      </c>
      <c r="D195" t="s">
        <v>1017</v>
      </c>
      <c r="E195" t="s">
        <v>1012</v>
      </c>
      <c r="F195" t="s">
        <v>1011</v>
      </c>
      <c r="G195" s="5">
        <v>2108</v>
      </c>
      <c r="H195">
        <v>6</v>
      </c>
      <c r="I195" t="s">
        <v>1023</v>
      </c>
      <c r="J195" t="str">
        <f t="shared" ref="J195:J258" si="12">IF(OR(G195&gt;7000,H195&gt;36),"High Risk",
IF(AND(G195&gt;4000,H195&gt;24),"Medium Risk",
"Low Risk"))</f>
        <v>Low Risk</v>
      </c>
      <c r="K195" t="str">
        <f t="shared" ref="K195:K258" si="13">IF(A195&lt;30,"Young",IF(A195&gt;50,"Adult","Senior"))</f>
        <v>Young</v>
      </c>
      <c r="L195" t="str">
        <f t="shared" ref="L195:L258" si="14">IF(H195&lt;12,"Short",IF(H195&lt;36,"Medium","Long"))</f>
        <v>Short</v>
      </c>
      <c r="M195" t="str">
        <f t="shared" ref="M195:M258" si="15">IF(G195&lt;3000,"Low Risk",IF(G195&lt;=6000,"Medium Risk","HighRisk"))</f>
        <v>Low Risk</v>
      </c>
    </row>
    <row r="196" spans="1:13" x14ac:dyDescent="0.3">
      <c r="A196">
        <v>21</v>
      </c>
      <c r="B196" t="s">
        <v>1010</v>
      </c>
      <c r="C196">
        <v>2</v>
      </c>
      <c r="D196" t="s">
        <v>1017</v>
      </c>
      <c r="E196" t="s">
        <v>1013</v>
      </c>
      <c r="F196" t="s">
        <v>1013</v>
      </c>
      <c r="G196" s="5">
        <v>3031</v>
      </c>
      <c r="H196">
        <v>45</v>
      </c>
      <c r="I196" t="s">
        <v>1023</v>
      </c>
      <c r="J196" t="str">
        <f t="shared" si="12"/>
        <v>High Risk</v>
      </c>
      <c r="K196" t="str">
        <f t="shared" si="13"/>
        <v>Young</v>
      </c>
      <c r="L196" t="str">
        <f t="shared" si="14"/>
        <v>Long</v>
      </c>
      <c r="M196" t="str">
        <f t="shared" si="15"/>
        <v>Medium Risk</v>
      </c>
    </row>
    <row r="197" spans="1:13" x14ac:dyDescent="0.3">
      <c r="A197">
        <v>34</v>
      </c>
      <c r="B197" t="s">
        <v>1009</v>
      </c>
      <c r="C197">
        <v>3</v>
      </c>
      <c r="D197" t="s">
        <v>1016</v>
      </c>
      <c r="E197" t="s">
        <v>1012</v>
      </c>
      <c r="F197" t="s">
        <v>1013</v>
      </c>
      <c r="G197" s="5">
        <v>1501</v>
      </c>
      <c r="H197">
        <v>9</v>
      </c>
      <c r="I197" t="s">
        <v>1021</v>
      </c>
      <c r="J197" t="str">
        <f t="shared" si="12"/>
        <v>Low Risk</v>
      </c>
      <c r="K197" t="str">
        <f t="shared" si="13"/>
        <v>Senior</v>
      </c>
      <c r="L197" t="str">
        <f t="shared" si="14"/>
        <v>Short</v>
      </c>
      <c r="M197" t="str">
        <f t="shared" si="15"/>
        <v>Low Risk</v>
      </c>
    </row>
    <row r="198" spans="1:13" x14ac:dyDescent="0.3">
      <c r="A198">
        <v>28</v>
      </c>
      <c r="B198" t="s">
        <v>1009</v>
      </c>
      <c r="C198">
        <v>2</v>
      </c>
      <c r="D198" t="s">
        <v>1016</v>
      </c>
      <c r="E198" t="s">
        <v>1012</v>
      </c>
      <c r="F198" t="s">
        <v>1011</v>
      </c>
      <c r="G198" s="5">
        <v>1382</v>
      </c>
      <c r="H198">
        <v>6</v>
      </c>
      <c r="I198" t="s">
        <v>1023</v>
      </c>
      <c r="J198" t="str">
        <f t="shared" si="12"/>
        <v>Low Risk</v>
      </c>
      <c r="K198" t="str">
        <f t="shared" si="13"/>
        <v>Young</v>
      </c>
      <c r="L198" t="str">
        <f t="shared" si="14"/>
        <v>Short</v>
      </c>
      <c r="M198" t="str">
        <f t="shared" si="15"/>
        <v>Low Risk</v>
      </c>
    </row>
    <row r="199" spans="1:13" x14ac:dyDescent="0.3">
      <c r="A199">
        <v>27</v>
      </c>
      <c r="B199" t="s">
        <v>1009</v>
      </c>
      <c r="C199">
        <v>2</v>
      </c>
      <c r="D199" t="s">
        <v>1017</v>
      </c>
      <c r="E199" t="s">
        <v>1013</v>
      </c>
      <c r="F199" t="s">
        <v>1013</v>
      </c>
      <c r="G199" s="5">
        <v>951</v>
      </c>
      <c r="H199">
        <v>12</v>
      </c>
      <c r="I199" t="s">
        <v>1022</v>
      </c>
      <c r="J199" t="str">
        <f t="shared" si="12"/>
        <v>Low Risk</v>
      </c>
      <c r="K199" t="str">
        <f t="shared" si="13"/>
        <v>Young</v>
      </c>
      <c r="L199" t="str">
        <f t="shared" si="14"/>
        <v>Medium</v>
      </c>
      <c r="M199" t="str">
        <f t="shared" si="15"/>
        <v>Low Risk</v>
      </c>
    </row>
    <row r="200" spans="1:13" x14ac:dyDescent="0.3">
      <c r="A200">
        <v>36</v>
      </c>
      <c r="B200" t="s">
        <v>1010</v>
      </c>
      <c r="C200">
        <v>2</v>
      </c>
      <c r="D200" t="s">
        <v>1015</v>
      </c>
      <c r="E200" t="s">
        <v>1011</v>
      </c>
      <c r="F200" t="s">
        <v>1013</v>
      </c>
      <c r="G200" s="5">
        <v>2760</v>
      </c>
      <c r="H200">
        <v>24</v>
      </c>
      <c r="I200" t="s">
        <v>1019</v>
      </c>
      <c r="J200" t="str">
        <f t="shared" si="12"/>
        <v>Low Risk</v>
      </c>
      <c r="K200" t="str">
        <f t="shared" si="13"/>
        <v>Senior</v>
      </c>
      <c r="L200" t="str">
        <f t="shared" si="14"/>
        <v>Medium</v>
      </c>
      <c r="M200" t="str">
        <f t="shared" si="15"/>
        <v>Low Risk</v>
      </c>
    </row>
    <row r="201" spans="1:13" x14ac:dyDescent="0.3">
      <c r="A201">
        <v>40</v>
      </c>
      <c r="B201" t="s">
        <v>1010</v>
      </c>
      <c r="C201">
        <v>3</v>
      </c>
      <c r="D201" t="s">
        <v>1016</v>
      </c>
      <c r="E201" t="s">
        <v>1012</v>
      </c>
      <c r="F201" t="s">
        <v>1013</v>
      </c>
      <c r="G201" s="5">
        <v>4297</v>
      </c>
      <c r="H201">
        <v>18</v>
      </c>
      <c r="I201" t="s">
        <v>1022</v>
      </c>
      <c r="J201" t="str">
        <f t="shared" si="12"/>
        <v>Low Risk</v>
      </c>
      <c r="K201" t="str">
        <f t="shared" si="13"/>
        <v>Senior</v>
      </c>
      <c r="L201" t="str">
        <f t="shared" si="14"/>
        <v>Medium</v>
      </c>
      <c r="M201" t="str">
        <f t="shared" si="15"/>
        <v>Medium Risk</v>
      </c>
    </row>
    <row r="202" spans="1:13" x14ac:dyDescent="0.3">
      <c r="A202">
        <v>52</v>
      </c>
      <c r="B202" t="s">
        <v>1010</v>
      </c>
      <c r="C202">
        <v>2</v>
      </c>
      <c r="D202" t="s">
        <v>1016</v>
      </c>
      <c r="E202" t="s">
        <v>1014</v>
      </c>
      <c r="F202" t="s">
        <v>1011</v>
      </c>
      <c r="G202" s="5">
        <v>936</v>
      </c>
      <c r="H202">
        <v>9</v>
      </c>
      <c r="I202" t="s">
        <v>1021</v>
      </c>
      <c r="J202" t="str">
        <f t="shared" si="12"/>
        <v>Low Risk</v>
      </c>
      <c r="K202" t="str">
        <f t="shared" si="13"/>
        <v>Adult</v>
      </c>
      <c r="L202" t="str">
        <f t="shared" si="14"/>
        <v>Short</v>
      </c>
      <c r="M202" t="str">
        <f t="shared" si="15"/>
        <v>Low Risk</v>
      </c>
    </row>
    <row r="203" spans="1:13" x14ac:dyDescent="0.3">
      <c r="A203">
        <v>27</v>
      </c>
      <c r="B203" t="s">
        <v>1010</v>
      </c>
      <c r="C203">
        <v>1</v>
      </c>
      <c r="D203" t="s">
        <v>1016</v>
      </c>
      <c r="E203" t="s">
        <v>1012</v>
      </c>
      <c r="F203" t="s">
        <v>1012</v>
      </c>
      <c r="G203" s="5">
        <v>1168</v>
      </c>
      <c r="H203">
        <v>12</v>
      </c>
      <c r="I203" t="s">
        <v>1019</v>
      </c>
      <c r="J203" t="str">
        <f t="shared" si="12"/>
        <v>Low Risk</v>
      </c>
      <c r="K203" t="str">
        <f t="shared" si="13"/>
        <v>Young</v>
      </c>
      <c r="L203" t="str">
        <f t="shared" si="14"/>
        <v>Medium</v>
      </c>
      <c r="M203" t="str">
        <f t="shared" si="15"/>
        <v>Low Risk</v>
      </c>
    </row>
    <row r="204" spans="1:13" x14ac:dyDescent="0.3">
      <c r="A204">
        <v>26</v>
      </c>
      <c r="B204" t="s">
        <v>1010</v>
      </c>
      <c r="C204">
        <v>2</v>
      </c>
      <c r="D204" t="s">
        <v>1016</v>
      </c>
      <c r="E204" t="s">
        <v>1012</v>
      </c>
      <c r="F204" t="s">
        <v>1011</v>
      </c>
      <c r="G204" s="5">
        <v>5117</v>
      </c>
      <c r="H204">
        <v>27</v>
      </c>
      <c r="I204" t="s">
        <v>1018</v>
      </c>
      <c r="J204" t="str">
        <f t="shared" si="12"/>
        <v>Medium Risk</v>
      </c>
      <c r="K204" t="str">
        <f t="shared" si="13"/>
        <v>Young</v>
      </c>
      <c r="L204" t="str">
        <f t="shared" si="14"/>
        <v>Medium</v>
      </c>
      <c r="M204" t="str">
        <f t="shared" si="15"/>
        <v>Medium Risk</v>
      </c>
    </row>
    <row r="205" spans="1:13" x14ac:dyDescent="0.3">
      <c r="A205">
        <v>21</v>
      </c>
      <c r="B205" t="s">
        <v>1010</v>
      </c>
      <c r="C205">
        <v>2</v>
      </c>
      <c r="D205" t="s">
        <v>1017</v>
      </c>
      <c r="E205" t="s">
        <v>1012</v>
      </c>
      <c r="F205" t="s">
        <v>1012</v>
      </c>
      <c r="G205" s="5">
        <v>902</v>
      </c>
      <c r="H205">
        <v>12</v>
      </c>
      <c r="I205" t="s">
        <v>1021</v>
      </c>
      <c r="J205" t="str">
        <f t="shared" si="12"/>
        <v>Low Risk</v>
      </c>
      <c r="K205" t="str">
        <f t="shared" si="13"/>
        <v>Young</v>
      </c>
      <c r="L205" t="str">
        <f t="shared" si="14"/>
        <v>Medium</v>
      </c>
      <c r="M205" t="str">
        <f t="shared" si="15"/>
        <v>Low Risk</v>
      </c>
    </row>
    <row r="206" spans="1:13" x14ac:dyDescent="0.3">
      <c r="A206">
        <v>38</v>
      </c>
      <c r="B206" t="s">
        <v>1010</v>
      </c>
      <c r="C206">
        <v>1</v>
      </c>
      <c r="D206" t="s">
        <v>1016</v>
      </c>
      <c r="E206" t="s">
        <v>1012</v>
      </c>
      <c r="F206" t="s">
        <v>1011</v>
      </c>
      <c r="G206" s="5">
        <v>1495</v>
      </c>
      <c r="H206">
        <v>12</v>
      </c>
      <c r="I206" t="s">
        <v>1019</v>
      </c>
      <c r="J206" t="str">
        <f t="shared" si="12"/>
        <v>Low Risk</v>
      </c>
      <c r="K206" t="str">
        <f t="shared" si="13"/>
        <v>Senior</v>
      </c>
      <c r="L206" t="str">
        <f t="shared" si="14"/>
        <v>Medium</v>
      </c>
      <c r="M206" t="str">
        <f t="shared" si="15"/>
        <v>Low Risk</v>
      </c>
    </row>
    <row r="207" spans="1:13" x14ac:dyDescent="0.3">
      <c r="A207">
        <v>38</v>
      </c>
      <c r="B207" t="s">
        <v>1010</v>
      </c>
      <c r="C207">
        <v>3</v>
      </c>
      <c r="D207" t="s">
        <v>1015</v>
      </c>
      <c r="E207" t="s">
        <v>1012</v>
      </c>
      <c r="F207" t="s">
        <v>1012</v>
      </c>
      <c r="G207" s="5">
        <v>10623</v>
      </c>
      <c r="H207">
        <v>30</v>
      </c>
      <c r="I207" t="s">
        <v>1019</v>
      </c>
      <c r="J207" t="str">
        <f t="shared" si="12"/>
        <v>High Risk</v>
      </c>
      <c r="K207" t="str">
        <f t="shared" si="13"/>
        <v>Senior</v>
      </c>
      <c r="L207" t="str">
        <f t="shared" si="14"/>
        <v>Medium</v>
      </c>
      <c r="M207" t="str">
        <f t="shared" si="15"/>
        <v>HighRisk</v>
      </c>
    </row>
    <row r="208" spans="1:13" x14ac:dyDescent="0.3">
      <c r="A208">
        <v>43</v>
      </c>
      <c r="B208" t="s">
        <v>1010</v>
      </c>
      <c r="C208">
        <v>2</v>
      </c>
      <c r="D208" t="s">
        <v>1016</v>
      </c>
      <c r="E208" t="s">
        <v>1012</v>
      </c>
      <c r="F208" t="s">
        <v>1011</v>
      </c>
      <c r="G208" s="5">
        <v>1935</v>
      </c>
      <c r="H208">
        <v>12</v>
      </c>
      <c r="I208" t="s">
        <v>1022</v>
      </c>
      <c r="J208" t="str">
        <f t="shared" si="12"/>
        <v>Low Risk</v>
      </c>
      <c r="K208" t="str">
        <f t="shared" si="13"/>
        <v>Senior</v>
      </c>
      <c r="L208" t="str">
        <f t="shared" si="14"/>
        <v>Medium</v>
      </c>
      <c r="M208" t="str">
        <f t="shared" si="15"/>
        <v>Low Risk</v>
      </c>
    </row>
    <row r="209" spans="1:13" x14ac:dyDescent="0.3">
      <c r="A209">
        <v>26</v>
      </c>
      <c r="B209" t="s">
        <v>1010</v>
      </c>
      <c r="C209">
        <v>2</v>
      </c>
      <c r="D209" t="s">
        <v>1016</v>
      </c>
      <c r="E209" t="s">
        <v>1012</v>
      </c>
      <c r="F209" t="s">
        <v>1013</v>
      </c>
      <c r="G209" s="5">
        <v>1424</v>
      </c>
      <c r="H209">
        <v>12</v>
      </c>
      <c r="I209" t="s">
        <v>1020</v>
      </c>
      <c r="J209" t="str">
        <f t="shared" si="12"/>
        <v>Low Risk</v>
      </c>
      <c r="K209" t="str">
        <f t="shared" si="13"/>
        <v>Young</v>
      </c>
      <c r="L209" t="str">
        <f t="shared" si="14"/>
        <v>Medium</v>
      </c>
      <c r="M209" t="str">
        <f t="shared" si="15"/>
        <v>Low Risk</v>
      </c>
    </row>
    <row r="210" spans="1:13" x14ac:dyDescent="0.3">
      <c r="A210">
        <v>21</v>
      </c>
      <c r="B210" t="s">
        <v>1010</v>
      </c>
      <c r="C210">
        <v>1</v>
      </c>
      <c r="D210" t="s">
        <v>1016</v>
      </c>
      <c r="E210" t="s">
        <v>1012</v>
      </c>
      <c r="F210" t="s">
        <v>1012</v>
      </c>
      <c r="G210" s="5">
        <v>6568</v>
      </c>
      <c r="H210">
        <v>24</v>
      </c>
      <c r="I210" t="s">
        <v>1018</v>
      </c>
      <c r="J210" t="str">
        <f t="shared" si="12"/>
        <v>Low Risk</v>
      </c>
      <c r="K210" t="str">
        <f t="shared" si="13"/>
        <v>Young</v>
      </c>
      <c r="L210" t="str">
        <f t="shared" si="14"/>
        <v>Medium</v>
      </c>
      <c r="M210" t="str">
        <f t="shared" si="15"/>
        <v>HighRisk</v>
      </c>
    </row>
    <row r="211" spans="1:13" x14ac:dyDescent="0.3">
      <c r="A211">
        <v>55</v>
      </c>
      <c r="B211" t="s">
        <v>1010</v>
      </c>
      <c r="C211">
        <v>2</v>
      </c>
      <c r="D211" t="s">
        <v>1016</v>
      </c>
      <c r="E211" t="s">
        <v>1008</v>
      </c>
      <c r="F211" t="s">
        <v>1011</v>
      </c>
      <c r="G211" s="5">
        <v>1413</v>
      </c>
      <c r="H211">
        <v>12</v>
      </c>
      <c r="I211" t="s">
        <v>1019</v>
      </c>
      <c r="J211" t="str">
        <f t="shared" si="12"/>
        <v>Low Risk</v>
      </c>
      <c r="K211" t="str">
        <f t="shared" si="13"/>
        <v>Adult</v>
      </c>
      <c r="L211" t="str">
        <f t="shared" si="14"/>
        <v>Medium</v>
      </c>
      <c r="M211" t="str">
        <f t="shared" si="15"/>
        <v>Low Risk</v>
      </c>
    </row>
    <row r="212" spans="1:13" x14ac:dyDescent="0.3">
      <c r="A212">
        <v>33</v>
      </c>
      <c r="B212" t="s">
        <v>1010</v>
      </c>
      <c r="C212">
        <v>2</v>
      </c>
      <c r="D212" t="s">
        <v>1016</v>
      </c>
      <c r="E212" t="s">
        <v>1011</v>
      </c>
      <c r="F212" t="s">
        <v>1011</v>
      </c>
      <c r="G212" s="5">
        <v>3074</v>
      </c>
      <c r="H212">
        <v>9</v>
      </c>
      <c r="I212" t="s">
        <v>1023</v>
      </c>
      <c r="J212" t="str">
        <f t="shared" si="12"/>
        <v>Low Risk</v>
      </c>
      <c r="K212" t="str">
        <f t="shared" si="13"/>
        <v>Senior</v>
      </c>
      <c r="L212" t="str">
        <f t="shared" si="14"/>
        <v>Short</v>
      </c>
      <c r="M212" t="str">
        <f t="shared" si="15"/>
        <v>Medium Risk</v>
      </c>
    </row>
    <row r="213" spans="1:13" x14ac:dyDescent="0.3">
      <c r="A213">
        <v>45</v>
      </c>
      <c r="B213" t="s">
        <v>1009</v>
      </c>
      <c r="C213">
        <v>1</v>
      </c>
      <c r="D213" t="s">
        <v>1016</v>
      </c>
      <c r="E213" t="s">
        <v>1011</v>
      </c>
      <c r="F213" t="s">
        <v>1011</v>
      </c>
      <c r="G213" s="5">
        <v>3835</v>
      </c>
      <c r="H213">
        <v>36</v>
      </c>
      <c r="I213" t="s">
        <v>1023</v>
      </c>
      <c r="J213" t="str">
        <f t="shared" si="12"/>
        <v>Low Risk</v>
      </c>
      <c r="K213" t="str">
        <f t="shared" si="13"/>
        <v>Senior</v>
      </c>
      <c r="L213" t="str">
        <f t="shared" si="14"/>
        <v>Long</v>
      </c>
      <c r="M213" t="str">
        <f t="shared" si="15"/>
        <v>Medium Risk</v>
      </c>
    </row>
    <row r="214" spans="1:13" x14ac:dyDescent="0.3">
      <c r="A214">
        <v>50</v>
      </c>
      <c r="B214" t="s">
        <v>1010</v>
      </c>
      <c r="C214">
        <v>2</v>
      </c>
      <c r="D214" t="s">
        <v>1016</v>
      </c>
      <c r="E214" t="s">
        <v>1012</v>
      </c>
      <c r="F214" t="s">
        <v>1012</v>
      </c>
      <c r="G214" s="5">
        <v>5293</v>
      </c>
      <c r="H214">
        <v>27</v>
      </c>
      <c r="I214" t="s">
        <v>1018</v>
      </c>
      <c r="J214" t="str">
        <f t="shared" si="12"/>
        <v>Medium Risk</v>
      </c>
      <c r="K214" t="str">
        <f t="shared" si="13"/>
        <v>Senior</v>
      </c>
      <c r="L214" t="str">
        <f t="shared" si="14"/>
        <v>Medium</v>
      </c>
      <c r="M214" t="str">
        <f t="shared" si="15"/>
        <v>Medium Risk</v>
      </c>
    </row>
    <row r="215" spans="1:13" x14ac:dyDescent="0.3">
      <c r="A215">
        <v>66</v>
      </c>
      <c r="B215" t="s">
        <v>1010</v>
      </c>
      <c r="C215">
        <v>3</v>
      </c>
      <c r="D215" t="s">
        <v>1016</v>
      </c>
      <c r="E215" t="s">
        <v>1012</v>
      </c>
      <c r="F215" t="s">
        <v>1008</v>
      </c>
      <c r="G215" s="5">
        <v>1908</v>
      </c>
      <c r="H215">
        <v>30</v>
      </c>
      <c r="I215" t="s">
        <v>1018</v>
      </c>
      <c r="J215" t="str">
        <f t="shared" si="12"/>
        <v>Low Risk</v>
      </c>
      <c r="K215" t="str">
        <f t="shared" si="13"/>
        <v>Adult</v>
      </c>
      <c r="L215" t="str">
        <f t="shared" si="14"/>
        <v>Medium</v>
      </c>
      <c r="M215" t="str">
        <f t="shared" si="15"/>
        <v>Low Risk</v>
      </c>
    </row>
    <row r="216" spans="1:13" x14ac:dyDescent="0.3">
      <c r="A216">
        <v>51</v>
      </c>
      <c r="B216" t="s">
        <v>1010</v>
      </c>
      <c r="C216">
        <v>2</v>
      </c>
      <c r="D216" t="s">
        <v>1016</v>
      </c>
      <c r="E216" t="s">
        <v>1011</v>
      </c>
      <c r="F216" t="s">
        <v>1011</v>
      </c>
      <c r="G216" s="5">
        <v>3342</v>
      </c>
      <c r="H216">
        <v>36</v>
      </c>
      <c r="I216" t="s">
        <v>1023</v>
      </c>
      <c r="J216" t="str">
        <f t="shared" si="12"/>
        <v>Low Risk</v>
      </c>
      <c r="K216" t="str">
        <f t="shared" si="13"/>
        <v>Adult</v>
      </c>
      <c r="L216" t="str">
        <f t="shared" si="14"/>
        <v>Long</v>
      </c>
      <c r="M216" t="str">
        <f t="shared" si="15"/>
        <v>Medium Risk</v>
      </c>
    </row>
    <row r="217" spans="1:13" x14ac:dyDescent="0.3">
      <c r="A217">
        <v>39</v>
      </c>
      <c r="B217" t="s">
        <v>1009</v>
      </c>
      <c r="C217">
        <v>1</v>
      </c>
      <c r="D217" t="s">
        <v>1016</v>
      </c>
      <c r="E217" t="s">
        <v>1011</v>
      </c>
      <c r="F217" t="s">
        <v>1013</v>
      </c>
      <c r="G217" s="5">
        <v>932</v>
      </c>
      <c r="H217">
        <v>6</v>
      </c>
      <c r="I217" t="s">
        <v>1021</v>
      </c>
      <c r="J217" t="str">
        <f t="shared" si="12"/>
        <v>Low Risk</v>
      </c>
      <c r="K217" t="str">
        <f t="shared" si="13"/>
        <v>Senior</v>
      </c>
      <c r="L217" t="str">
        <f t="shared" si="14"/>
        <v>Short</v>
      </c>
      <c r="M217" t="str">
        <f t="shared" si="15"/>
        <v>Low Risk</v>
      </c>
    </row>
    <row r="218" spans="1:13" x14ac:dyDescent="0.3">
      <c r="A218">
        <v>31</v>
      </c>
      <c r="B218" t="s">
        <v>1010</v>
      </c>
      <c r="C218">
        <v>2</v>
      </c>
      <c r="D218" t="s">
        <v>1016</v>
      </c>
      <c r="E218" t="s">
        <v>1012</v>
      </c>
      <c r="F218" t="s">
        <v>1012</v>
      </c>
      <c r="G218" s="5">
        <v>3104</v>
      </c>
      <c r="H218">
        <v>18</v>
      </c>
      <c r="I218" t="s">
        <v>1018</v>
      </c>
      <c r="J218" t="str">
        <f t="shared" si="12"/>
        <v>Low Risk</v>
      </c>
      <c r="K218" t="str">
        <f t="shared" si="13"/>
        <v>Senior</v>
      </c>
      <c r="L218" t="str">
        <f t="shared" si="14"/>
        <v>Medium</v>
      </c>
      <c r="M218" t="str">
        <f t="shared" si="15"/>
        <v>Medium Risk</v>
      </c>
    </row>
    <row r="219" spans="1:13" x14ac:dyDescent="0.3">
      <c r="A219">
        <v>23</v>
      </c>
      <c r="B219" t="s">
        <v>1010</v>
      </c>
      <c r="C219">
        <v>2</v>
      </c>
      <c r="D219" t="s">
        <v>1016</v>
      </c>
      <c r="E219" t="s">
        <v>1012</v>
      </c>
      <c r="F219" t="s">
        <v>1008</v>
      </c>
      <c r="G219" s="5">
        <v>3913</v>
      </c>
      <c r="H219">
        <v>36</v>
      </c>
      <c r="I219" t="s">
        <v>1023</v>
      </c>
      <c r="J219" t="str">
        <f t="shared" si="12"/>
        <v>Low Risk</v>
      </c>
      <c r="K219" t="str">
        <f t="shared" si="13"/>
        <v>Young</v>
      </c>
      <c r="L219" t="str">
        <f t="shared" si="14"/>
        <v>Long</v>
      </c>
      <c r="M219" t="str">
        <f t="shared" si="15"/>
        <v>Medium Risk</v>
      </c>
    </row>
    <row r="220" spans="1:13" x14ac:dyDescent="0.3">
      <c r="A220">
        <v>24</v>
      </c>
      <c r="B220" t="s">
        <v>1010</v>
      </c>
      <c r="C220">
        <v>1</v>
      </c>
      <c r="D220" t="s">
        <v>1017</v>
      </c>
      <c r="E220" t="s">
        <v>1012</v>
      </c>
      <c r="F220" t="s">
        <v>1012</v>
      </c>
      <c r="G220" s="5">
        <v>3021</v>
      </c>
      <c r="H220">
        <v>24</v>
      </c>
      <c r="I220" t="s">
        <v>1022</v>
      </c>
      <c r="J220" t="str">
        <f t="shared" si="12"/>
        <v>Low Risk</v>
      </c>
      <c r="K220" t="str">
        <f t="shared" si="13"/>
        <v>Young</v>
      </c>
      <c r="L220" t="str">
        <f t="shared" si="14"/>
        <v>Medium</v>
      </c>
      <c r="M220" t="str">
        <f t="shared" si="15"/>
        <v>Medium Risk</v>
      </c>
    </row>
    <row r="221" spans="1:13" x14ac:dyDescent="0.3">
      <c r="A221">
        <v>64</v>
      </c>
      <c r="B221" t="s">
        <v>1009</v>
      </c>
      <c r="C221">
        <v>2</v>
      </c>
      <c r="D221" t="s">
        <v>1016</v>
      </c>
      <c r="E221" t="s">
        <v>1012</v>
      </c>
      <c r="F221" t="s">
        <v>1011</v>
      </c>
      <c r="G221" s="5">
        <v>1364</v>
      </c>
      <c r="H221">
        <v>10</v>
      </c>
      <c r="I221" t="s">
        <v>1019</v>
      </c>
      <c r="J221" t="str">
        <f t="shared" si="12"/>
        <v>Low Risk</v>
      </c>
      <c r="K221" t="str">
        <f t="shared" si="13"/>
        <v>Adult</v>
      </c>
      <c r="L221" t="str">
        <f t="shared" si="14"/>
        <v>Short</v>
      </c>
      <c r="M221" t="str">
        <f t="shared" si="15"/>
        <v>Low Risk</v>
      </c>
    </row>
    <row r="222" spans="1:13" x14ac:dyDescent="0.3">
      <c r="A222">
        <v>26</v>
      </c>
      <c r="B222" t="s">
        <v>1010</v>
      </c>
      <c r="C222">
        <v>1</v>
      </c>
      <c r="D222" t="s">
        <v>1016</v>
      </c>
      <c r="E222" t="s">
        <v>1012</v>
      </c>
      <c r="F222" t="s">
        <v>1013</v>
      </c>
      <c r="G222" s="5">
        <v>625</v>
      </c>
      <c r="H222">
        <v>12</v>
      </c>
      <c r="I222" t="s">
        <v>1023</v>
      </c>
      <c r="J222" t="str">
        <f t="shared" si="12"/>
        <v>Low Risk</v>
      </c>
      <c r="K222" t="str">
        <f t="shared" si="13"/>
        <v>Young</v>
      </c>
      <c r="L222" t="str">
        <f t="shared" si="14"/>
        <v>Medium</v>
      </c>
      <c r="M222" t="str">
        <f t="shared" si="15"/>
        <v>Low Risk</v>
      </c>
    </row>
    <row r="223" spans="1:13" x14ac:dyDescent="0.3">
      <c r="A223">
        <v>23</v>
      </c>
      <c r="B223" t="s">
        <v>1009</v>
      </c>
      <c r="C223">
        <v>2</v>
      </c>
      <c r="D223" t="s">
        <v>1017</v>
      </c>
      <c r="E223" t="s">
        <v>1011</v>
      </c>
      <c r="F223" t="s">
        <v>1012</v>
      </c>
      <c r="G223" s="5">
        <v>1200</v>
      </c>
      <c r="H223">
        <v>12</v>
      </c>
      <c r="I223" t="s">
        <v>1021</v>
      </c>
      <c r="J223" t="str">
        <f t="shared" si="12"/>
        <v>Low Risk</v>
      </c>
      <c r="K223" t="str">
        <f t="shared" si="13"/>
        <v>Young</v>
      </c>
      <c r="L223" t="str">
        <f t="shared" si="14"/>
        <v>Medium</v>
      </c>
      <c r="M223" t="str">
        <f t="shared" si="15"/>
        <v>Low Risk</v>
      </c>
    </row>
    <row r="224" spans="1:13" x14ac:dyDescent="0.3">
      <c r="A224">
        <v>30</v>
      </c>
      <c r="B224" t="s">
        <v>1010</v>
      </c>
      <c r="C224">
        <v>2</v>
      </c>
      <c r="D224" t="s">
        <v>1016</v>
      </c>
      <c r="E224" t="s">
        <v>1012</v>
      </c>
      <c r="F224" t="s">
        <v>1011</v>
      </c>
      <c r="G224" s="5">
        <v>707</v>
      </c>
      <c r="H224">
        <v>12</v>
      </c>
      <c r="I224" t="s">
        <v>1023</v>
      </c>
      <c r="J224" t="str">
        <f t="shared" si="12"/>
        <v>Low Risk</v>
      </c>
      <c r="K224" t="str">
        <f t="shared" si="13"/>
        <v>Senior</v>
      </c>
      <c r="L224" t="str">
        <f t="shared" si="14"/>
        <v>Medium</v>
      </c>
      <c r="M224" t="str">
        <f t="shared" si="15"/>
        <v>Low Risk</v>
      </c>
    </row>
    <row r="225" spans="1:13" x14ac:dyDescent="0.3">
      <c r="A225">
        <v>32</v>
      </c>
      <c r="B225" t="s">
        <v>1010</v>
      </c>
      <c r="C225">
        <v>2</v>
      </c>
      <c r="D225" t="s">
        <v>1016</v>
      </c>
      <c r="E225" t="s">
        <v>1011</v>
      </c>
      <c r="F225" t="s">
        <v>1011</v>
      </c>
      <c r="G225" s="5">
        <v>2978</v>
      </c>
      <c r="H225">
        <v>24</v>
      </c>
      <c r="I225" t="s">
        <v>1018</v>
      </c>
      <c r="J225" t="str">
        <f t="shared" si="12"/>
        <v>Low Risk</v>
      </c>
      <c r="K225" t="str">
        <f t="shared" si="13"/>
        <v>Senior</v>
      </c>
      <c r="L225" t="str">
        <f t="shared" si="14"/>
        <v>Medium</v>
      </c>
      <c r="M225" t="str">
        <f t="shared" si="15"/>
        <v>Low Risk</v>
      </c>
    </row>
    <row r="226" spans="1:13" x14ac:dyDescent="0.3">
      <c r="A226">
        <v>30</v>
      </c>
      <c r="B226" t="s">
        <v>1010</v>
      </c>
      <c r="C226">
        <v>2</v>
      </c>
      <c r="D226" t="s">
        <v>1016</v>
      </c>
      <c r="E226" t="s">
        <v>1012</v>
      </c>
      <c r="F226" t="s">
        <v>1011</v>
      </c>
      <c r="G226" s="5">
        <v>4657</v>
      </c>
      <c r="H226">
        <v>15</v>
      </c>
      <c r="I226" t="s">
        <v>1019</v>
      </c>
      <c r="J226" t="str">
        <f t="shared" si="12"/>
        <v>Low Risk</v>
      </c>
      <c r="K226" t="str">
        <f t="shared" si="13"/>
        <v>Senior</v>
      </c>
      <c r="L226" t="str">
        <f t="shared" si="14"/>
        <v>Medium</v>
      </c>
      <c r="M226" t="str">
        <f t="shared" si="15"/>
        <v>Medium Risk</v>
      </c>
    </row>
    <row r="227" spans="1:13" x14ac:dyDescent="0.3">
      <c r="A227">
        <v>27</v>
      </c>
      <c r="B227" t="s">
        <v>1010</v>
      </c>
      <c r="C227">
        <v>2</v>
      </c>
      <c r="D227" t="s">
        <v>1016</v>
      </c>
      <c r="E227" t="s">
        <v>1012</v>
      </c>
      <c r="F227" t="s">
        <v>1011</v>
      </c>
      <c r="G227" s="5">
        <v>2613</v>
      </c>
      <c r="H227">
        <v>36</v>
      </c>
      <c r="I227" t="s">
        <v>1024</v>
      </c>
      <c r="J227" t="str">
        <f t="shared" si="12"/>
        <v>Low Risk</v>
      </c>
      <c r="K227" t="str">
        <f t="shared" si="13"/>
        <v>Young</v>
      </c>
      <c r="L227" t="str">
        <f t="shared" si="14"/>
        <v>Long</v>
      </c>
      <c r="M227" t="str">
        <f t="shared" si="15"/>
        <v>Low Risk</v>
      </c>
    </row>
    <row r="228" spans="1:13" x14ac:dyDescent="0.3">
      <c r="A228">
        <v>27</v>
      </c>
      <c r="B228" t="s">
        <v>1010</v>
      </c>
      <c r="C228">
        <v>2</v>
      </c>
      <c r="D228" t="s">
        <v>1016</v>
      </c>
      <c r="E228" t="s">
        <v>1008</v>
      </c>
      <c r="F228" t="s">
        <v>1013</v>
      </c>
      <c r="G228" s="5">
        <v>10961</v>
      </c>
      <c r="H228">
        <v>48</v>
      </c>
      <c r="I228" t="s">
        <v>1023</v>
      </c>
      <c r="J228" t="str">
        <f t="shared" si="12"/>
        <v>High Risk</v>
      </c>
      <c r="K228" t="str">
        <f t="shared" si="13"/>
        <v>Young</v>
      </c>
      <c r="L228" t="str">
        <f t="shared" si="14"/>
        <v>Long</v>
      </c>
      <c r="M228" t="str">
        <f t="shared" si="15"/>
        <v>HighRisk</v>
      </c>
    </row>
    <row r="229" spans="1:13" x14ac:dyDescent="0.3">
      <c r="A229">
        <v>53</v>
      </c>
      <c r="B229" t="s">
        <v>1010</v>
      </c>
      <c r="C229">
        <v>3</v>
      </c>
      <c r="D229" t="s">
        <v>1015</v>
      </c>
      <c r="E229" t="s">
        <v>1012</v>
      </c>
      <c r="F229" t="s">
        <v>1012</v>
      </c>
      <c r="G229" s="5">
        <v>7865</v>
      </c>
      <c r="H229">
        <v>12</v>
      </c>
      <c r="I229" t="s">
        <v>1022</v>
      </c>
      <c r="J229" t="str">
        <f t="shared" si="12"/>
        <v>High Risk</v>
      </c>
      <c r="K229" t="str">
        <f t="shared" si="13"/>
        <v>Adult</v>
      </c>
      <c r="L229" t="str">
        <f t="shared" si="14"/>
        <v>Medium</v>
      </c>
      <c r="M229" t="str">
        <f t="shared" si="15"/>
        <v>HighRisk</v>
      </c>
    </row>
    <row r="230" spans="1:13" x14ac:dyDescent="0.3">
      <c r="A230">
        <v>22</v>
      </c>
      <c r="B230" t="s">
        <v>1010</v>
      </c>
      <c r="C230">
        <v>2</v>
      </c>
      <c r="D230" t="s">
        <v>1016</v>
      </c>
      <c r="E230" t="s">
        <v>1012</v>
      </c>
      <c r="F230" t="s">
        <v>1011</v>
      </c>
      <c r="G230" s="5">
        <v>1478</v>
      </c>
      <c r="H230">
        <v>9</v>
      </c>
      <c r="I230" t="s">
        <v>1023</v>
      </c>
      <c r="J230" t="str">
        <f t="shared" si="12"/>
        <v>Low Risk</v>
      </c>
      <c r="K230" t="str">
        <f t="shared" si="13"/>
        <v>Young</v>
      </c>
      <c r="L230" t="str">
        <f t="shared" si="14"/>
        <v>Short</v>
      </c>
      <c r="M230" t="str">
        <f t="shared" si="15"/>
        <v>Low Risk</v>
      </c>
    </row>
    <row r="231" spans="1:13" x14ac:dyDescent="0.3">
      <c r="A231">
        <v>22</v>
      </c>
      <c r="B231" t="s">
        <v>1010</v>
      </c>
      <c r="C231">
        <v>2</v>
      </c>
      <c r="D231" t="s">
        <v>1015</v>
      </c>
      <c r="E231" t="s">
        <v>1012</v>
      </c>
      <c r="F231" t="s">
        <v>1012</v>
      </c>
      <c r="G231" s="5">
        <v>3149</v>
      </c>
      <c r="H231">
        <v>24</v>
      </c>
      <c r="I231" t="s">
        <v>1022</v>
      </c>
      <c r="J231" t="str">
        <f t="shared" si="12"/>
        <v>Low Risk</v>
      </c>
      <c r="K231" t="str">
        <f t="shared" si="13"/>
        <v>Young</v>
      </c>
      <c r="L231" t="str">
        <f t="shared" si="14"/>
        <v>Medium</v>
      </c>
      <c r="M231" t="str">
        <f t="shared" si="15"/>
        <v>Medium Risk</v>
      </c>
    </row>
    <row r="232" spans="1:13" x14ac:dyDescent="0.3">
      <c r="A232">
        <v>26</v>
      </c>
      <c r="B232" t="s">
        <v>1010</v>
      </c>
      <c r="C232">
        <v>2</v>
      </c>
      <c r="D232" t="s">
        <v>1016</v>
      </c>
      <c r="E232" t="s">
        <v>1012</v>
      </c>
      <c r="F232" t="s">
        <v>1008</v>
      </c>
      <c r="G232" s="5">
        <v>4210</v>
      </c>
      <c r="H232">
        <v>36</v>
      </c>
      <c r="I232" t="s">
        <v>1023</v>
      </c>
      <c r="J232" t="str">
        <f t="shared" si="12"/>
        <v>Medium Risk</v>
      </c>
      <c r="K232" t="str">
        <f t="shared" si="13"/>
        <v>Young</v>
      </c>
      <c r="L232" t="str">
        <f t="shared" si="14"/>
        <v>Long</v>
      </c>
      <c r="M232" t="str">
        <f t="shared" si="15"/>
        <v>Medium Risk</v>
      </c>
    </row>
    <row r="233" spans="1:13" x14ac:dyDescent="0.3">
      <c r="A233">
        <v>51</v>
      </c>
      <c r="B233" t="s">
        <v>1010</v>
      </c>
      <c r="C233">
        <v>1</v>
      </c>
      <c r="D233" t="s">
        <v>1015</v>
      </c>
      <c r="E233" t="s">
        <v>1014</v>
      </c>
      <c r="F233" t="s">
        <v>1011</v>
      </c>
      <c r="G233" s="5">
        <v>2507</v>
      </c>
      <c r="H233">
        <v>9</v>
      </c>
      <c r="I233" t="s">
        <v>1019</v>
      </c>
      <c r="J233" t="str">
        <f t="shared" si="12"/>
        <v>Low Risk</v>
      </c>
      <c r="K233" t="str">
        <f t="shared" si="13"/>
        <v>Adult</v>
      </c>
      <c r="L233" t="str">
        <f t="shared" si="14"/>
        <v>Short</v>
      </c>
      <c r="M233" t="str">
        <f t="shared" si="15"/>
        <v>Low Risk</v>
      </c>
    </row>
    <row r="234" spans="1:13" x14ac:dyDescent="0.3">
      <c r="A234">
        <v>35</v>
      </c>
      <c r="B234" t="s">
        <v>1010</v>
      </c>
      <c r="C234">
        <v>2</v>
      </c>
      <c r="D234" t="s">
        <v>1016</v>
      </c>
      <c r="E234" t="s">
        <v>1013</v>
      </c>
      <c r="F234" t="s">
        <v>1011</v>
      </c>
      <c r="G234" s="5">
        <v>2141</v>
      </c>
      <c r="H234">
        <v>12</v>
      </c>
      <c r="I234" t="s">
        <v>1023</v>
      </c>
      <c r="J234" t="str">
        <f t="shared" si="12"/>
        <v>Low Risk</v>
      </c>
      <c r="K234" t="str">
        <f t="shared" si="13"/>
        <v>Senior</v>
      </c>
      <c r="L234" t="str">
        <f t="shared" si="14"/>
        <v>Medium</v>
      </c>
      <c r="M234" t="str">
        <f t="shared" si="15"/>
        <v>Low Risk</v>
      </c>
    </row>
    <row r="235" spans="1:13" x14ac:dyDescent="0.3">
      <c r="A235">
        <v>25</v>
      </c>
      <c r="B235" t="s">
        <v>1010</v>
      </c>
      <c r="C235">
        <v>1</v>
      </c>
      <c r="D235" t="s">
        <v>1016</v>
      </c>
      <c r="E235" t="s">
        <v>1012</v>
      </c>
      <c r="F235" t="s">
        <v>1013</v>
      </c>
      <c r="G235" s="5">
        <v>866</v>
      </c>
      <c r="H235">
        <v>18</v>
      </c>
      <c r="I235" t="s">
        <v>1023</v>
      </c>
      <c r="J235" t="str">
        <f t="shared" si="12"/>
        <v>Low Risk</v>
      </c>
      <c r="K235" t="str">
        <f t="shared" si="13"/>
        <v>Young</v>
      </c>
      <c r="L235" t="str">
        <f t="shared" si="14"/>
        <v>Medium</v>
      </c>
      <c r="M235" t="str">
        <f t="shared" si="15"/>
        <v>Low Risk</v>
      </c>
    </row>
    <row r="236" spans="1:13" x14ac:dyDescent="0.3">
      <c r="A236">
        <v>42</v>
      </c>
      <c r="B236" t="s">
        <v>1010</v>
      </c>
      <c r="C236">
        <v>1</v>
      </c>
      <c r="D236" t="s">
        <v>1016</v>
      </c>
      <c r="E236" t="s">
        <v>1012</v>
      </c>
      <c r="F236" t="s">
        <v>1011</v>
      </c>
      <c r="G236" s="5">
        <v>1544</v>
      </c>
      <c r="H236">
        <v>4</v>
      </c>
      <c r="I236" t="s">
        <v>1023</v>
      </c>
      <c r="J236" t="str">
        <f t="shared" si="12"/>
        <v>Low Risk</v>
      </c>
      <c r="K236" t="str">
        <f t="shared" si="13"/>
        <v>Senior</v>
      </c>
      <c r="L236" t="str">
        <f t="shared" si="14"/>
        <v>Short</v>
      </c>
      <c r="M236" t="str">
        <f t="shared" si="15"/>
        <v>Low Risk</v>
      </c>
    </row>
    <row r="237" spans="1:13" x14ac:dyDescent="0.3">
      <c r="A237">
        <v>30</v>
      </c>
      <c r="B237" t="s">
        <v>1010</v>
      </c>
      <c r="C237">
        <v>3</v>
      </c>
      <c r="D237" t="s">
        <v>1016</v>
      </c>
      <c r="E237" t="s">
        <v>1012</v>
      </c>
      <c r="F237" t="s">
        <v>1012</v>
      </c>
      <c r="G237" s="5">
        <v>1823</v>
      </c>
      <c r="H237">
        <v>24</v>
      </c>
      <c r="I237" t="s">
        <v>1023</v>
      </c>
      <c r="J237" t="str">
        <f t="shared" si="12"/>
        <v>Low Risk</v>
      </c>
      <c r="K237" t="str">
        <f t="shared" si="13"/>
        <v>Senior</v>
      </c>
      <c r="L237" t="str">
        <f t="shared" si="14"/>
        <v>Medium</v>
      </c>
      <c r="M237" t="str">
        <f t="shared" si="15"/>
        <v>Low Risk</v>
      </c>
    </row>
    <row r="238" spans="1:13" x14ac:dyDescent="0.3">
      <c r="A238">
        <v>23</v>
      </c>
      <c r="B238" t="s">
        <v>1010</v>
      </c>
      <c r="C238">
        <v>0</v>
      </c>
      <c r="D238" t="s">
        <v>1016</v>
      </c>
      <c r="E238" t="s">
        <v>1011</v>
      </c>
      <c r="F238" t="s">
        <v>1013</v>
      </c>
      <c r="G238" s="5">
        <v>14555</v>
      </c>
      <c r="H238">
        <v>6</v>
      </c>
      <c r="I238" t="s">
        <v>1019</v>
      </c>
      <c r="J238" t="str">
        <f t="shared" si="12"/>
        <v>High Risk</v>
      </c>
      <c r="K238" t="str">
        <f t="shared" si="13"/>
        <v>Young</v>
      </c>
      <c r="L238" t="str">
        <f t="shared" si="14"/>
        <v>Short</v>
      </c>
      <c r="M238" t="str">
        <f t="shared" si="15"/>
        <v>HighRisk</v>
      </c>
    </row>
    <row r="239" spans="1:13" x14ac:dyDescent="0.3">
      <c r="A239">
        <v>61</v>
      </c>
      <c r="B239" t="s">
        <v>1010</v>
      </c>
      <c r="C239">
        <v>1</v>
      </c>
      <c r="D239" t="s">
        <v>1017</v>
      </c>
      <c r="E239" t="s">
        <v>1013</v>
      </c>
      <c r="F239" t="s">
        <v>1013</v>
      </c>
      <c r="G239" s="5">
        <v>2767</v>
      </c>
      <c r="H239">
        <v>21</v>
      </c>
      <c r="I239" t="s">
        <v>1018</v>
      </c>
      <c r="J239" t="str">
        <f t="shared" si="12"/>
        <v>Low Risk</v>
      </c>
      <c r="K239" t="str">
        <f t="shared" si="13"/>
        <v>Adult</v>
      </c>
      <c r="L239" t="str">
        <f t="shared" si="14"/>
        <v>Medium</v>
      </c>
      <c r="M239" t="str">
        <f t="shared" si="15"/>
        <v>Low Risk</v>
      </c>
    </row>
    <row r="240" spans="1:13" x14ac:dyDescent="0.3">
      <c r="A240">
        <v>35</v>
      </c>
      <c r="B240" t="s">
        <v>1009</v>
      </c>
      <c r="C240">
        <v>2</v>
      </c>
      <c r="D240" t="s">
        <v>1016</v>
      </c>
      <c r="E240" t="s">
        <v>1012</v>
      </c>
      <c r="F240" t="s">
        <v>1011</v>
      </c>
      <c r="G240" s="5">
        <v>1291</v>
      </c>
      <c r="H240">
        <v>12</v>
      </c>
      <c r="I240" t="s">
        <v>1023</v>
      </c>
      <c r="J240" t="str">
        <f t="shared" si="12"/>
        <v>Low Risk</v>
      </c>
      <c r="K240" t="str">
        <f t="shared" si="13"/>
        <v>Senior</v>
      </c>
      <c r="L240" t="str">
        <f t="shared" si="14"/>
        <v>Medium</v>
      </c>
      <c r="M240" t="str">
        <f t="shared" si="15"/>
        <v>Low Risk</v>
      </c>
    </row>
    <row r="241" spans="1:13" x14ac:dyDescent="0.3">
      <c r="A241">
        <v>39</v>
      </c>
      <c r="B241" t="s">
        <v>1010</v>
      </c>
      <c r="C241">
        <v>2</v>
      </c>
      <c r="D241" t="s">
        <v>1016</v>
      </c>
      <c r="E241" t="s">
        <v>1012</v>
      </c>
      <c r="F241" t="s">
        <v>1012</v>
      </c>
      <c r="G241" s="5">
        <v>2522</v>
      </c>
      <c r="H241">
        <v>30</v>
      </c>
      <c r="I241" t="s">
        <v>1023</v>
      </c>
      <c r="J241" t="str">
        <f t="shared" si="12"/>
        <v>Low Risk</v>
      </c>
      <c r="K241" t="str">
        <f t="shared" si="13"/>
        <v>Senior</v>
      </c>
      <c r="L241" t="str">
        <f t="shared" si="14"/>
        <v>Medium</v>
      </c>
      <c r="M241" t="str">
        <f t="shared" si="15"/>
        <v>Low Risk</v>
      </c>
    </row>
    <row r="242" spans="1:13" x14ac:dyDescent="0.3">
      <c r="A242">
        <v>29</v>
      </c>
      <c r="B242" t="s">
        <v>1009</v>
      </c>
      <c r="C242">
        <v>2</v>
      </c>
      <c r="D242" t="s">
        <v>1016</v>
      </c>
      <c r="E242" t="s">
        <v>1011</v>
      </c>
      <c r="F242" t="s">
        <v>1012</v>
      </c>
      <c r="G242" s="5">
        <v>915</v>
      </c>
      <c r="H242">
        <v>24</v>
      </c>
      <c r="I242" t="s">
        <v>1019</v>
      </c>
      <c r="J242" t="str">
        <f t="shared" si="12"/>
        <v>Low Risk</v>
      </c>
      <c r="K242" t="str">
        <f t="shared" si="13"/>
        <v>Young</v>
      </c>
      <c r="L242" t="str">
        <f t="shared" si="14"/>
        <v>Medium</v>
      </c>
      <c r="M242" t="str">
        <f t="shared" si="15"/>
        <v>Low Risk</v>
      </c>
    </row>
    <row r="243" spans="1:13" x14ac:dyDescent="0.3">
      <c r="A243">
        <v>51</v>
      </c>
      <c r="B243" t="s">
        <v>1010</v>
      </c>
      <c r="C243">
        <v>2</v>
      </c>
      <c r="D243" t="s">
        <v>1016</v>
      </c>
      <c r="E243" t="s">
        <v>1012</v>
      </c>
      <c r="F243" t="s">
        <v>1011</v>
      </c>
      <c r="G243" s="5">
        <v>1595</v>
      </c>
      <c r="H243">
        <v>6</v>
      </c>
      <c r="I243" t="s">
        <v>1023</v>
      </c>
      <c r="J243" t="str">
        <f t="shared" si="12"/>
        <v>Low Risk</v>
      </c>
      <c r="K243" t="str">
        <f t="shared" si="13"/>
        <v>Adult</v>
      </c>
      <c r="L243" t="str">
        <f t="shared" si="14"/>
        <v>Short</v>
      </c>
      <c r="M243" t="str">
        <f t="shared" si="15"/>
        <v>Low Risk</v>
      </c>
    </row>
    <row r="244" spans="1:13" x14ac:dyDescent="0.3">
      <c r="A244">
        <v>24</v>
      </c>
      <c r="B244" t="s">
        <v>1010</v>
      </c>
      <c r="C244">
        <v>2</v>
      </c>
      <c r="D244" t="s">
        <v>1015</v>
      </c>
      <c r="E244" t="s">
        <v>1012</v>
      </c>
      <c r="F244" t="s">
        <v>1012</v>
      </c>
      <c r="G244" s="5">
        <v>4605</v>
      </c>
      <c r="H244">
        <v>48</v>
      </c>
      <c r="I244" t="s">
        <v>1019</v>
      </c>
      <c r="J244" t="str">
        <f t="shared" si="12"/>
        <v>High Risk</v>
      </c>
      <c r="K244" t="str">
        <f t="shared" si="13"/>
        <v>Young</v>
      </c>
      <c r="L244" t="str">
        <f t="shared" si="14"/>
        <v>Long</v>
      </c>
      <c r="M244" t="str">
        <f t="shared" si="15"/>
        <v>Medium Risk</v>
      </c>
    </row>
    <row r="245" spans="1:13" x14ac:dyDescent="0.3">
      <c r="A245">
        <v>27</v>
      </c>
      <c r="B245" t="s">
        <v>1009</v>
      </c>
      <c r="C245">
        <v>2</v>
      </c>
      <c r="D245" t="s">
        <v>1016</v>
      </c>
      <c r="E245" t="s">
        <v>1012</v>
      </c>
      <c r="F245" t="s">
        <v>1011</v>
      </c>
      <c r="G245" s="5">
        <v>1185</v>
      </c>
      <c r="H245">
        <v>12</v>
      </c>
      <c r="I245" t="s">
        <v>1018</v>
      </c>
      <c r="J245" t="str">
        <f t="shared" si="12"/>
        <v>Low Risk</v>
      </c>
      <c r="K245" t="str">
        <f t="shared" si="13"/>
        <v>Young</v>
      </c>
      <c r="L245" t="str">
        <f t="shared" si="14"/>
        <v>Medium</v>
      </c>
      <c r="M245" t="str">
        <f t="shared" si="15"/>
        <v>Low Risk</v>
      </c>
    </row>
    <row r="246" spans="1:13" x14ac:dyDescent="0.3">
      <c r="A246">
        <v>35</v>
      </c>
      <c r="B246" t="s">
        <v>1009</v>
      </c>
      <c r="C246">
        <v>1</v>
      </c>
      <c r="D246" t="s">
        <v>1016</v>
      </c>
      <c r="E246" t="s">
        <v>1014</v>
      </c>
      <c r="F246" t="s">
        <v>1011</v>
      </c>
      <c r="G246" s="5">
        <v>3447</v>
      </c>
      <c r="H246">
        <v>12</v>
      </c>
      <c r="I246" t="s">
        <v>1021</v>
      </c>
      <c r="J246" t="str">
        <f t="shared" si="12"/>
        <v>Low Risk</v>
      </c>
      <c r="K246" t="str">
        <f t="shared" si="13"/>
        <v>Senior</v>
      </c>
      <c r="L246" t="str">
        <f t="shared" si="14"/>
        <v>Medium</v>
      </c>
      <c r="M246" t="str">
        <f t="shared" si="15"/>
        <v>Medium Risk</v>
      </c>
    </row>
    <row r="247" spans="1:13" x14ac:dyDescent="0.3">
      <c r="A247">
        <v>25</v>
      </c>
      <c r="B247" t="s">
        <v>1010</v>
      </c>
      <c r="C247">
        <v>2</v>
      </c>
      <c r="D247" t="s">
        <v>1016</v>
      </c>
      <c r="E247" t="s">
        <v>1012</v>
      </c>
      <c r="F247" t="s">
        <v>1011</v>
      </c>
      <c r="G247" s="5">
        <v>1258</v>
      </c>
      <c r="H247">
        <v>24</v>
      </c>
      <c r="I247" t="s">
        <v>1018</v>
      </c>
      <c r="J247" t="str">
        <f t="shared" si="12"/>
        <v>Low Risk</v>
      </c>
      <c r="K247" t="str">
        <f t="shared" si="13"/>
        <v>Young</v>
      </c>
      <c r="L247" t="str">
        <f t="shared" si="14"/>
        <v>Medium</v>
      </c>
      <c r="M247" t="str">
        <f t="shared" si="15"/>
        <v>Low Risk</v>
      </c>
    </row>
    <row r="248" spans="1:13" x14ac:dyDescent="0.3">
      <c r="A248">
        <v>52</v>
      </c>
      <c r="B248" t="s">
        <v>1010</v>
      </c>
      <c r="C248">
        <v>2</v>
      </c>
      <c r="D248" t="s">
        <v>1016</v>
      </c>
      <c r="E248" t="s">
        <v>1012</v>
      </c>
      <c r="F248" t="s">
        <v>1011</v>
      </c>
      <c r="G248" s="5">
        <v>717</v>
      </c>
      <c r="H248">
        <v>12</v>
      </c>
      <c r="I248" t="s">
        <v>1023</v>
      </c>
      <c r="J248" t="str">
        <f t="shared" si="12"/>
        <v>Low Risk</v>
      </c>
      <c r="K248" t="str">
        <f t="shared" si="13"/>
        <v>Adult</v>
      </c>
      <c r="L248" t="str">
        <f t="shared" si="14"/>
        <v>Medium</v>
      </c>
      <c r="M248" t="str">
        <f t="shared" si="15"/>
        <v>Low Risk</v>
      </c>
    </row>
    <row r="249" spans="1:13" x14ac:dyDescent="0.3">
      <c r="A249">
        <v>35</v>
      </c>
      <c r="B249" t="s">
        <v>1010</v>
      </c>
      <c r="C249">
        <v>2</v>
      </c>
      <c r="D249" t="s">
        <v>1017</v>
      </c>
      <c r="E249" t="s">
        <v>1013</v>
      </c>
      <c r="F249" t="s">
        <v>1011</v>
      </c>
      <c r="G249" s="5">
        <v>1204</v>
      </c>
      <c r="H249">
        <v>6</v>
      </c>
      <c r="I249" t="s">
        <v>1019</v>
      </c>
      <c r="J249" t="str">
        <f t="shared" si="12"/>
        <v>Low Risk</v>
      </c>
      <c r="K249" t="str">
        <f t="shared" si="13"/>
        <v>Senior</v>
      </c>
      <c r="L249" t="str">
        <f t="shared" si="14"/>
        <v>Short</v>
      </c>
      <c r="M249" t="str">
        <f t="shared" si="15"/>
        <v>Low Risk</v>
      </c>
    </row>
    <row r="250" spans="1:13" x14ac:dyDescent="0.3">
      <c r="A250">
        <v>26</v>
      </c>
      <c r="B250" t="s">
        <v>1010</v>
      </c>
      <c r="C250">
        <v>2</v>
      </c>
      <c r="D250" t="s">
        <v>1016</v>
      </c>
      <c r="E250" t="s">
        <v>1012</v>
      </c>
      <c r="F250" t="s">
        <v>1008</v>
      </c>
      <c r="G250" s="5">
        <v>1925</v>
      </c>
      <c r="H250">
        <v>24</v>
      </c>
      <c r="I250" t="s">
        <v>1022</v>
      </c>
      <c r="J250" t="str">
        <f t="shared" si="12"/>
        <v>Low Risk</v>
      </c>
      <c r="K250" t="str">
        <f t="shared" si="13"/>
        <v>Young</v>
      </c>
      <c r="L250" t="str">
        <f t="shared" si="14"/>
        <v>Medium</v>
      </c>
      <c r="M250" t="str">
        <f t="shared" si="15"/>
        <v>Low Risk</v>
      </c>
    </row>
    <row r="251" spans="1:13" x14ac:dyDescent="0.3">
      <c r="A251">
        <v>22</v>
      </c>
      <c r="B251" t="s">
        <v>1009</v>
      </c>
      <c r="C251">
        <v>2</v>
      </c>
      <c r="D251" t="s">
        <v>1017</v>
      </c>
      <c r="E251" t="s">
        <v>1012</v>
      </c>
      <c r="F251" t="s">
        <v>1011</v>
      </c>
      <c r="G251" s="5">
        <v>433</v>
      </c>
      <c r="H251">
        <v>18</v>
      </c>
      <c r="I251" t="s">
        <v>1023</v>
      </c>
      <c r="J251" t="str">
        <f t="shared" si="12"/>
        <v>Low Risk</v>
      </c>
      <c r="K251" t="str">
        <f t="shared" si="13"/>
        <v>Young</v>
      </c>
      <c r="L251" t="str">
        <f t="shared" si="14"/>
        <v>Medium</v>
      </c>
      <c r="M251" t="str">
        <f t="shared" si="15"/>
        <v>Low Risk</v>
      </c>
    </row>
    <row r="252" spans="1:13" x14ac:dyDescent="0.3">
      <c r="A252">
        <v>39</v>
      </c>
      <c r="B252" t="s">
        <v>1009</v>
      </c>
      <c r="C252">
        <v>1</v>
      </c>
      <c r="D252" t="s">
        <v>1016</v>
      </c>
      <c r="E252" t="s">
        <v>1008</v>
      </c>
      <c r="F252" t="s">
        <v>1012</v>
      </c>
      <c r="G252" s="5">
        <v>666</v>
      </c>
      <c r="H252">
        <v>6</v>
      </c>
      <c r="I252" t="s">
        <v>1019</v>
      </c>
      <c r="J252" t="str">
        <f t="shared" si="12"/>
        <v>Low Risk</v>
      </c>
      <c r="K252" t="str">
        <f t="shared" si="13"/>
        <v>Senior</v>
      </c>
      <c r="L252" t="str">
        <f t="shared" si="14"/>
        <v>Short</v>
      </c>
      <c r="M252" t="str">
        <f t="shared" si="15"/>
        <v>Low Risk</v>
      </c>
    </row>
    <row r="253" spans="1:13" x14ac:dyDescent="0.3">
      <c r="A253">
        <v>46</v>
      </c>
      <c r="B253" t="s">
        <v>1009</v>
      </c>
      <c r="C253">
        <v>1</v>
      </c>
      <c r="D253" t="s">
        <v>1016</v>
      </c>
      <c r="E253" t="s">
        <v>1012</v>
      </c>
      <c r="F253" t="s">
        <v>1008</v>
      </c>
      <c r="G253" s="5">
        <v>2251</v>
      </c>
      <c r="H253">
        <v>12</v>
      </c>
      <c r="I253" t="s">
        <v>1022</v>
      </c>
      <c r="J253" t="str">
        <f t="shared" si="12"/>
        <v>Low Risk</v>
      </c>
      <c r="K253" t="str">
        <f t="shared" si="13"/>
        <v>Senior</v>
      </c>
      <c r="L253" t="str">
        <f t="shared" si="14"/>
        <v>Medium</v>
      </c>
      <c r="M253" t="str">
        <f t="shared" si="15"/>
        <v>Low Risk</v>
      </c>
    </row>
    <row r="254" spans="1:13" x14ac:dyDescent="0.3">
      <c r="A254">
        <v>24</v>
      </c>
      <c r="B254" t="s">
        <v>1009</v>
      </c>
      <c r="C254">
        <v>2</v>
      </c>
      <c r="D254" t="s">
        <v>1016</v>
      </c>
      <c r="E254" t="s">
        <v>1012</v>
      </c>
      <c r="F254" t="s">
        <v>1013</v>
      </c>
      <c r="G254" s="5">
        <v>2150</v>
      </c>
      <c r="H254">
        <v>30</v>
      </c>
      <c r="I254" t="s">
        <v>1019</v>
      </c>
      <c r="J254" t="str">
        <f t="shared" si="12"/>
        <v>Low Risk</v>
      </c>
      <c r="K254" t="str">
        <f t="shared" si="13"/>
        <v>Young</v>
      </c>
      <c r="L254" t="str">
        <f t="shared" si="14"/>
        <v>Medium</v>
      </c>
      <c r="M254" t="str">
        <f t="shared" si="15"/>
        <v>Low Risk</v>
      </c>
    </row>
    <row r="255" spans="1:13" x14ac:dyDescent="0.3">
      <c r="A255">
        <v>35</v>
      </c>
      <c r="B255" t="s">
        <v>1010</v>
      </c>
      <c r="C255">
        <v>2</v>
      </c>
      <c r="D255" t="s">
        <v>1016</v>
      </c>
      <c r="E255" t="s">
        <v>1013</v>
      </c>
      <c r="F255" t="s">
        <v>1011</v>
      </c>
      <c r="G255" s="5">
        <v>4151</v>
      </c>
      <c r="H255">
        <v>24</v>
      </c>
      <c r="I255" t="s">
        <v>1022</v>
      </c>
      <c r="J255" t="str">
        <f t="shared" si="12"/>
        <v>Low Risk</v>
      </c>
      <c r="K255" t="str">
        <f t="shared" si="13"/>
        <v>Senior</v>
      </c>
      <c r="L255" t="str">
        <f t="shared" si="14"/>
        <v>Medium</v>
      </c>
      <c r="M255" t="str">
        <f t="shared" si="15"/>
        <v>Medium Risk</v>
      </c>
    </row>
    <row r="256" spans="1:13" x14ac:dyDescent="0.3">
      <c r="A256">
        <v>24</v>
      </c>
      <c r="B256" t="s">
        <v>1010</v>
      </c>
      <c r="C256">
        <v>2</v>
      </c>
      <c r="D256" t="s">
        <v>1016</v>
      </c>
      <c r="E256" t="s">
        <v>1011</v>
      </c>
      <c r="F256" t="s">
        <v>1013</v>
      </c>
      <c r="G256" s="5">
        <v>2030</v>
      </c>
      <c r="H256">
        <v>9</v>
      </c>
      <c r="I256" t="s">
        <v>1022</v>
      </c>
      <c r="J256" t="str">
        <f t="shared" si="12"/>
        <v>Low Risk</v>
      </c>
      <c r="K256" t="str">
        <f t="shared" si="13"/>
        <v>Young</v>
      </c>
      <c r="L256" t="str">
        <f t="shared" si="14"/>
        <v>Short</v>
      </c>
      <c r="M256" t="str">
        <f t="shared" si="15"/>
        <v>Low Risk</v>
      </c>
    </row>
    <row r="257" spans="1:13" x14ac:dyDescent="0.3">
      <c r="A257">
        <v>27</v>
      </c>
      <c r="B257" t="s">
        <v>1010</v>
      </c>
      <c r="C257">
        <v>1</v>
      </c>
      <c r="D257" t="s">
        <v>1016</v>
      </c>
      <c r="E257" t="s">
        <v>1011</v>
      </c>
      <c r="F257" t="s">
        <v>1013</v>
      </c>
      <c r="G257" s="5">
        <v>7418</v>
      </c>
      <c r="H257">
        <v>60</v>
      </c>
      <c r="I257" t="s">
        <v>1023</v>
      </c>
      <c r="J257" t="str">
        <f t="shared" si="12"/>
        <v>High Risk</v>
      </c>
      <c r="K257" t="str">
        <f t="shared" si="13"/>
        <v>Young</v>
      </c>
      <c r="L257" t="str">
        <f t="shared" si="14"/>
        <v>Long</v>
      </c>
      <c r="M257" t="str">
        <f t="shared" si="15"/>
        <v>HighRisk</v>
      </c>
    </row>
    <row r="258" spans="1:13" x14ac:dyDescent="0.3">
      <c r="A258">
        <v>35</v>
      </c>
      <c r="B258" t="s">
        <v>1010</v>
      </c>
      <c r="C258">
        <v>1</v>
      </c>
      <c r="D258" t="s">
        <v>1016</v>
      </c>
      <c r="E258" t="s">
        <v>1012</v>
      </c>
      <c r="F258" t="s">
        <v>1011</v>
      </c>
      <c r="G258" s="5">
        <v>2684</v>
      </c>
      <c r="H258">
        <v>24</v>
      </c>
      <c r="I258" t="s">
        <v>1023</v>
      </c>
      <c r="J258" t="str">
        <f t="shared" si="12"/>
        <v>Low Risk</v>
      </c>
      <c r="K258" t="str">
        <f t="shared" si="13"/>
        <v>Senior</v>
      </c>
      <c r="L258" t="str">
        <f t="shared" si="14"/>
        <v>Medium</v>
      </c>
      <c r="M258" t="str">
        <f t="shared" si="15"/>
        <v>Low Risk</v>
      </c>
    </row>
    <row r="259" spans="1:13" x14ac:dyDescent="0.3">
      <c r="A259">
        <v>29</v>
      </c>
      <c r="B259" t="s">
        <v>1010</v>
      </c>
      <c r="C259">
        <v>2</v>
      </c>
      <c r="D259" t="s">
        <v>1015</v>
      </c>
      <c r="E259" t="s">
        <v>1012</v>
      </c>
      <c r="F259" t="s">
        <v>1012</v>
      </c>
      <c r="G259" s="5">
        <v>2149</v>
      </c>
      <c r="H259">
        <v>12</v>
      </c>
      <c r="I259" t="s">
        <v>1023</v>
      </c>
      <c r="J259" t="str">
        <f t="shared" ref="J259:J322" si="16">IF(OR(G259&gt;7000,H259&gt;36),"High Risk",
IF(AND(G259&gt;4000,H259&gt;24),"Medium Risk",
"Low Risk"))</f>
        <v>Low Risk</v>
      </c>
      <c r="K259" t="str">
        <f t="shared" ref="K259:K322" si="17">IF(A259&lt;30,"Young",IF(A259&gt;50,"Adult","Senior"))</f>
        <v>Young</v>
      </c>
      <c r="L259" t="str">
        <f t="shared" ref="L259:L322" si="18">IF(H259&lt;12,"Short",IF(H259&lt;36,"Medium","Long"))</f>
        <v>Medium</v>
      </c>
      <c r="M259" t="str">
        <f t="shared" ref="M259:M322" si="19">IF(G259&lt;3000,"Low Risk",IF(G259&lt;=6000,"Medium Risk","HighRisk"))</f>
        <v>Low Risk</v>
      </c>
    </row>
    <row r="260" spans="1:13" x14ac:dyDescent="0.3">
      <c r="A260">
        <v>23</v>
      </c>
      <c r="B260" t="s">
        <v>1009</v>
      </c>
      <c r="C260">
        <v>2</v>
      </c>
      <c r="D260" t="s">
        <v>1016</v>
      </c>
      <c r="E260" t="s">
        <v>1013</v>
      </c>
      <c r="F260" t="s">
        <v>1011</v>
      </c>
      <c r="G260" s="5">
        <v>3812</v>
      </c>
      <c r="H260">
        <v>15</v>
      </c>
      <c r="I260" t="s">
        <v>1019</v>
      </c>
      <c r="J260" t="str">
        <f t="shared" si="16"/>
        <v>Low Risk</v>
      </c>
      <c r="K260" t="str">
        <f t="shared" si="17"/>
        <v>Young</v>
      </c>
      <c r="L260" t="str">
        <f t="shared" si="18"/>
        <v>Medium</v>
      </c>
      <c r="M260" t="str">
        <f t="shared" si="19"/>
        <v>Medium Risk</v>
      </c>
    </row>
    <row r="261" spans="1:13" x14ac:dyDescent="0.3">
      <c r="A261">
        <v>57</v>
      </c>
      <c r="B261" t="s">
        <v>1009</v>
      </c>
      <c r="C261">
        <v>1</v>
      </c>
      <c r="D261" t="s">
        <v>1016</v>
      </c>
      <c r="E261" t="s">
        <v>1013</v>
      </c>
      <c r="F261" t="s">
        <v>1011</v>
      </c>
      <c r="G261" s="5">
        <v>1154</v>
      </c>
      <c r="H261">
        <v>11</v>
      </c>
      <c r="I261" t="s">
        <v>1023</v>
      </c>
      <c r="J261" t="str">
        <f t="shared" si="16"/>
        <v>Low Risk</v>
      </c>
      <c r="K261" t="str">
        <f t="shared" si="17"/>
        <v>Adult</v>
      </c>
      <c r="L261" t="str">
        <f t="shared" si="18"/>
        <v>Short</v>
      </c>
      <c r="M261" t="str">
        <f t="shared" si="19"/>
        <v>Low Risk</v>
      </c>
    </row>
    <row r="262" spans="1:13" x14ac:dyDescent="0.3">
      <c r="A262">
        <v>27</v>
      </c>
      <c r="B262" t="s">
        <v>1010</v>
      </c>
      <c r="C262">
        <v>2</v>
      </c>
      <c r="D262" t="s">
        <v>1016</v>
      </c>
      <c r="E262" t="s">
        <v>1012</v>
      </c>
      <c r="F262" t="s">
        <v>1012</v>
      </c>
      <c r="G262" s="5">
        <v>1657</v>
      </c>
      <c r="H262">
        <v>12</v>
      </c>
      <c r="I262" t="s">
        <v>1022</v>
      </c>
      <c r="J262" t="str">
        <f t="shared" si="16"/>
        <v>Low Risk</v>
      </c>
      <c r="K262" t="str">
        <f t="shared" si="17"/>
        <v>Young</v>
      </c>
      <c r="L262" t="str">
        <f t="shared" si="18"/>
        <v>Medium</v>
      </c>
      <c r="M262" t="str">
        <f t="shared" si="19"/>
        <v>Low Risk</v>
      </c>
    </row>
    <row r="263" spans="1:13" x14ac:dyDescent="0.3">
      <c r="A263">
        <v>55</v>
      </c>
      <c r="B263" t="s">
        <v>1009</v>
      </c>
      <c r="C263">
        <v>2</v>
      </c>
      <c r="D263" t="s">
        <v>1016</v>
      </c>
      <c r="E263" t="s">
        <v>1012</v>
      </c>
      <c r="F263" t="s">
        <v>1012</v>
      </c>
      <c r="G263" s="5">
        <v>1603</v>
      </c>
      <c r="H263">
        <v>24</v>
      </c>
      <c r="I263" t="s">
        <v>1023</v>
      </c>
      <c r="J263" t="str">
        <f t="shared" si="16"/>
        <v>Low Risk</v>
      </c>
      <c r="K263" t="str">
        <f t="shared" si="17"/>
        <v>Adult</v>
      </c>
      <c r="L263" t="str">
        <f t="shared" si="18"/>
        <v>Medium</v>
      </c>
      <c r="M263" t="str">
        <f t="shared" si="19"/>
        <v>Low Risk</v>
      </c>
    </row>
    <row r="264" spans="1:13" x14ac:dyDescent="0.3">
      <c r="A264">
        <v>36</v>
      </c>
      <c r="B264" t="s">
        <v>1010</v>
      </c>
      <c r="C264">
        <v>3</v>
      </c>
      <c r="D264" t="s">
        <v>1015</v>
      </c>
      <c r="E264" t="s">
        <v>1012</v>
      </c>
      <c r="F264" t="s">
        <v>1012</v>
      </c>
      <c r="G264" s="5">
        <v>5302</v>
      </c>
      <c r="H264">
        <v>18</v>
      </c>
      <c r="I264" t="s">
        <v>1019</v>
      </c>
      <c r="J264" t="str">
        <f t="shared" si="16"/>
        <v>Low Risk</v>
      </c>
      <c r="K264" t="str">
        <f t="shared" si="17"/>
        <v>Senior</v>
      </c>
      <c r="L264" t="str">
        <f t="shared" si="18"/>
        <v>Medium</v>
      </c>
      <c r="M264" t="str">
        <f t="shared" si="19"/>
        <v>Medium Risk</v>
      </c>
    </row>
    <row r="265" spans="1:13" x14ac:dyDescent="0.3">
      <c r="A265">
        <v>57</v>
      </c>
      <c r="B265" t="s">
        <v>1009</v>
      </c>
      <c r="C265">
        <v>1</v>
      </c>
      <c r="D265" t="s">
        <v>1015</v>
      </c>
      <c r="E265" t="s">
        <v>1012</v>
      </c>
      <c r="F265" t="s">
        <v>1011</v>
      </c>
      <c r="G265" s="5">
        <v>2748</v>
      </c>
      <c r="H265">
        <v>12</v>
      </c>
      <c r="I265" t="s">
        <v>1021</v>
      </c>
      <c r="J265" t="str">
        <f t="shared" si="16"/>
        <v>Low Risk</v>
      </c>
      <c r="K265" t="str">
        <f t="shared" si="17"/>
        <v>Adult</v>
      </c>
      <c r="L265" t="str">
        <f t="shared" si="18"/>
        <v>Medium</v>
      </c>
      <c r="M265" t="str">
        <f t="shared" si="19"/>
        <v>Low Risk</v>
      </c>
    </row>
    <row r="266" spans="1:13" x14ac:dyDescent="0.3">
      <c r="A266">
        <v>32</v>
      </c>
      <c r="B266" t="s">
        <v>1010</v>
      </c>
      <c r="C266">
        <v>1</v>
      </c>
      <c r="D266" t="s">
        <v>1016</v>
      </c>
      <c r="E266" t="s">
        <v>1012</v>
      </c>
      <c r="F266" t="s">
        <v>1011</v>
      </c>
      <c r="G266" s="5">
        <v>1231</v>
      </c>
      <c r="H266">
        <v>10</v>
      </c>
      <c r="I266" t="s">
        <v>1019</v>
      </c>
      <c r="J266" t="str">
        <f t="shared" si="16"/>
        <v>Low Risk</v>
      </c>
      <c r="K266" t="str">
        <f t="shared" si="17"/>
        <v>Senior</v>
      </c>
      <c r="L266" t="str">
        <f t="shared" si="18"/>
        <v>Short</v>
      </c>
      <c r="M266" t="str">
        <f t="shared" si="19"/>
        <v>Low Risk</v>
      </c>
    </row>
    <row r="267" spans="1:13" x14ac:dyDescent="0.3">
      <c r="A267">
        <v>37</v>
      </c>
      <c r="B267" t="s">
        <v>1010</v>
      </c>
      <c r="C267">
        <v>2</v>
      </c>
      <c r="D267" t="s">
        <v>1016</v>
      </c>
      <c r="E267" t="s">
        <v>1012</v>
      </c>
      <c r="F267" t="s">
        <v>1013</v>
      </c>
      <c r="G267" s="5">
        <v>802</v>
      </c>
      <c r="H267">
        <v>15</v>
      </c>
      <c r="I267" t="s">
        <v>1023</v>
      </c>
      <c r="J267" t="str">
        <f t="shared" si="16"/>
        <v>Low Risk</v>
      </c>
      <c r="K267" t="str">
        <f t="shared" si="17"/>
        <v>Senior</v>
      </c>
      <c r="L267" t="str">
        <f t="shared" si="18"/>
        <v>Medium</v>
      </c>
      <c r="M267" t="str">
        <f t="shared" si="19"/>
        <v>Low Risk</v>
      </c>
    </row>
    <row r="268" spans="1:13" x14ac:dyDescent="0.3">
      <c r="A268">
        <v>36</v>
      </c>
      <c r="B268" t="s">
        <v>1010</v>
      </c>
      <c r="C268">
        <v>2</v>
      </c>
      <c r="D268" t="s">
        <v>1016</v>
      </c>
      <c r="E268" t="s">
        <v>1011</v>
      </c>
      <c r="F268" t="s">
        <v>1011</v>
      </c>
      <c r="G268" s="5">
        <v>6304</v>
      </c>
      <c r="H268">
        <v>36</v>
      </c>
      <c r="I268" t="s">
        <v>1018</v>
      </c>
      <c r="J268" t="str">
        <f t="shared" si="16"/>
        <v>Medium Risk</v>
      </c>
      <c r="K268" t="str">
        <f t="shared" si="17"/>
        <v>Senior</v>
      </c>
      <c r="L268" t="str">
        <f t="shared" si="18"/>
        <v>Long</v>
      </c>
      <c r="M268" t="str">
        <f t="shared" si="19"/>
        <v>HighRisk</v>
      </c>
    </row>
    <row r="269" spans="1:13" x14ac:dyDescent="0.3">
      <c r="A269">
        <v>38</v>
      </c>
      <c r="B269" t="s">
        <v>1009</v>
      </c>
      <c r="C269">
        <v>2</v>
      </c>
      <c r="D269" t="s">
        <v>1016</v>
      </c>
      <c r="E269" t="s">
        <v>1012</v>
      </c>
      <c r="F269" t="s">
        <v>1011</v>
      </c>
      <c r="G269" s="5">
        <v>1533</v>
      </c>
      <c r="H269">
        <v>24</v>
      </c>
      <c r="I269" t="s">
        <v>1023</v>
      </c>
      <c r="J269" t="str">
        <f t="shared" si="16"/>
        <v>Low Risk</v>
      </c>
      <c r="K269" t="str">
        <f t="shared" si="17"/>
        <v>Senior</v>
      </c>
      <c r="L269" t="str">
        <f t="shared" si="18"/>
        <v>Medium</v>
      </c>
      <c r="M269" t="str">
        <f t="shared" si="19"/>
        <v>Low Risk</v>
      </c>
    </row>
    <row r="270" spans="1:13" x14ac:dyDescent="0.3">
      <c r="A270">
        <v>45</v>
      </c>
      <c r="B270" t="s">
        <v>1010</v>
      </c>
      <c r="C270">
        <v>3</v>
      </c>
      <c r="D270" t="s">
        <v>1016</v>
      </c>
      <c r="E270" t="s">
        <v>1012</v>
      </c>
      <c r="F270" t="s">
        <v>1012</v>
      </c>
      <c r="G270" s="5">
        <v>8978</v>
      </c>
      <c r="H270">
        <v>14</v>
      </c>
      <c r="I270" t="s">
        <v>1019</v>
      </c>
      <c r="J270" t="str">
        <f t="shared" si="16"/>
        <v>High Risk</v>
      </c>
      <c r="K270" t="str">
        <f t="shared" si="17"/>
        <v>Senior</v>
      </c>
      <c r="L270" t="str">
        <f t="shared" si="18"/>
        <v>Medium</v>
      </c>
      <c r="M270" t="str">
        <f t="shared" si="19"/>
        <v>HighRisk</v>
      </c>
    </row>
    <row r="271" spans="1:13" x14ac:dyDescent="0.3">
      <c r="A271">
        <v>25</v>
      </c>
      <c r="B271" t="s">
        <v>1010</v>
      </c>
      <c r="C271">
        <v>2</v>
      </c>
      <c r="D271" t="s">
        <v>1016</v>
      </c>
      <c r="E271" t="s">
        <v>1011</v>
      </c>
      <c r="F271" t="s">
        <v>1011</v>
      </c>
      <c r="G271" s="5">
        <v>999</v>
      </c>
      <c r="H271">
        <v>24</v>
      </c>
      <c r="I271" t="s">
        <v>1023</v>
      </c>
      <c r="J271" t="str">
        <f t="shared" si="16"/>
        <v>Low Risk</v>
      </c>
      <c r="K271" t="str">
        <f t="shared" si="17"/>
        <v>Young</v>
      </c>
      <c r="L271" t="str">
        <f t="shared" si="18"/>
        <v>Medium</v>
      </c>
      <c r="M271" t="str">
        <f t="shared" si="19"/>
        <v>Low Risk</v>
      </c>
    </row>
    <row r="272" spans="1:13" x14ac:dyDescent="0.3">
      <c r="A272">
        <v>32</v>
      </c>
      <c r="B272" t="s">
        <v>1010</v>
      </c>
      <c r="C272">
        <v>2</v>
      </c>
      <c r="D272" t="s">
        <v>1016</v>
      </c>
      <c r="E272" t="s">
        <v>1011</v>
      </c>
      <c r="F272" t="s">
        <v>1011</v>
      </c>
      <c r="G272" s="5">
        <v>2662</v>
      </c>
      <c r="H272">
        <v>18</v>
      </c>
      <c r="I272" t="s">
        <v>1019</v>
      </c>
      <c r="J272" t="str">
        <f t="shared" si="16"/>
        <v>Low Risk</v>
      </c>
      <c r="K272" t="str">
        <f t="shared" si="17"/>
        <v>Senior</v>
      </c>
      <c r="L272" t="str">
        <f t="shared" si="18"/>
        <v>Medium</v>
      </c>
      <c r="M272" t="str">
        <f t="shared" si="19"/>
        <v>Low Risk</v>
      </c>
    </row>
    <row r="273" spans="1:13" x14ac:dyDescent="0.3">
      <c r="A273">
        <v>37</v>
      </c>
      <c r="B273" t="s">
        <v>1009</v>
      </c>
      <c r="C273">
        <v>2</v>
      </c>
      <c r="D273" t="s">
        <v>1017</v>
      </c>
      <c r="E273" t="s">
        <v>1014</v>
      </c>
      <c r="F273" t="s">
        <v>1011</v>
      </c>
      <c r="G273" s="5">
        <v>1402</v>
      </c>
      <c r="H273">
        <v>12</v>
      </c>
      <c r="I273" t="s">
        <v>1022</v>
      </c>
      <c r="J273" t="str">
        <f t="shared" si="16"/>
        <v>Low Risk</v>
      </c>
      <c r="K273" t="str">
        <f t="shared" si="17"/>
        <v>Senior</v>
      </c>
      <c r="L273" t="str">
        <f t="shared" si="18"/>
        <v>Medium</v>
      </c>
      <c r="M273" t="str">
        <f t="shared" si="19"/>
        <v>Low Risk</v>
      </c>
    </row>
    <row r="274" spans="1:13" x14ac:dyDescent="0.3">
      <c r="A274">
        <v>36</v>
      </c>
      <c r="B274" t="s">
        <v>1010</v>
      </c>
      <c r="C274">
        <v>3</v>
      </c>
      <c r="D274" t="s">
        <v>1015</v>
      </c>
      <c r="E274" t="s">
        <v>1011</v>
      </c>
      <c r="F274" t="s">
        <v>1013</v>
      </c>
      <c r="G274" s="5">
        <v>12169</v>
      </c>
      <c r="H274">
        <v>48</v>
      </c>
      <c r="I274" t="s">
        <v>1019</v>
      </c>
      <c r="J274" t="str">
        <f t="shared" si="16"/>
        <v>High Risk</v>
      </c>
      <c r="K274" t="str">
        <f t="shared" si="17"/>
        <v>Senior</v>
      </c>
      <c r="L274" t="str">
        <f t="shared" si="18"/>
        <v>Long</v>
      </c>
      <c r="M274" t="str">
        <f t="shared" si="19"/>
        <v>HighRisk</v>
      </c>
    </row>
    <row r="275" spans="1:13" x14ac:dyDescent="0.3">
      <c r="A275">
        <v>28</v>
      </c>
      <c r="B275" t="s">
        <v>1010</v>
      </c>
      <c r="C275">
        <v>2</v>
      </c>
      <c r="D275" t="s">
        <v>1016</v>
      </c>
      <c r="E275" t="s">
        <v>1012</v>
      </c>
      <c r="F275" t="s">
        <v>1013</v>
      </c>
      <c r="G275" s="5">
        <v>3060</v>
      </c>
      <c r="H275">
        <v>48</v>
      </c>
      <c r="I275" t="s">
        <v>1023</v>
      </c>
      <c r="J275" t="str">
        <f t="shared" si="16"/>
        <v>High Risk</v>
      </c>
      <c r="K275" t="str">
        <f t="shared" si="17"/>
        <v>Young</v>
      </c>
      <c r="L275" t="str">
        <f t="shared" si="18"/>
        <v>Long</v>
      </c>
      <c r="M275" t="str">
        <f t="shared" si="19"/>
        <v>Medium Risk</v>
      </c>
    </row>
    <row r="276" spans="1:13" x14ac:dyDescent="0.3">
      <c r="A276">
        <v>34</v>
      </c>
      <c r="B276" t="s">
        <v>1010</v>
      </c>
      <c r="C276">
        <v>1</v>
      </c>
      <c r="D276" t="s">
        <v>1016</v>
      </c>
      <c r="E276" t="s">
        <v>1012</v>
      </c>
      <c r="F276" t="s">
        <v>1012</v>
      </c>
      <c r="G276" s="5">
        <v>11998</v>
      </c>
      <c r="H276">
        <v>30</v>
      </c>
      <c r="I276" t="s">
        <v>1024</v>
      </c>
      <c r="J276" t="str">
        <f t="shared" si="16"/>
        <v>High Risk</v>
      </c>
      <c r="K276" t="str">
        <f t="shared" si="17"/>
        <v>Senior</v>
      </c>
      <c r="L276" t="str">
        <f t="shared" si="18"/>
        <v>Medium</v>
      </c>
      <c r="M276" t="str">
        <f t="shared" si="19"/>
        <v>HighRisk</v>
      </c>
    </row>
    <row r="277" spans="1:13" x14ac:dyDescent="0.3">
      <c r="A277">
        <v>32</v>
      </c>
      <c r="B277" t="s">
        <v>1010</v>
      </c>
      <c r="C277">
        <v>2</v>
      </c>
      <c r="D277" t="s">
        <v>1016</v>
      </c>
      <c r="E277" t="s">
        <v>1012</v>
      </c>
      <c r="F277" t="s">
        <v>1011</v>
      </c>
      <c r="G277" s="5">
        <v>2697</v>
      </c>
      <c r="H277">
        <v>9</v>
      </c>
      <c r="I277" t="s">
        <v>1023</v>
      </c>
      <c r="J277" t="str">
        <f t="shared" si="16"/>
        <v>Low Risk</v>
      </c>
      <c r="K277" t="str">
        <f t="shared" si="17"/>
        <v>Senior</v>
      </c>
      <c r="L277" t="str">
        <f t="shared" si="18"/>
        <v>Short</v>
      </c>
      <c r="M277" t="str">
        <f t="shared" si="19"/>
        <v>Low Risk</v>
      </c>
    </row>
    <row r="278" spans="1:13" x14ac:dyDescent="0.3">
      <c r="A278">
        <v>26</v>
      </c>
      <c r="B278" t="s">
        <v>1009</v>
      </c>
      <c r="C278">
        <v>2</v>
      </c>
      <c r="D278" t="s">
        <v>1016</v>
      </c>
      <c r="E278" t="s">
        <v>1012</v>
      </c>
      <c r="F278" t="s">
        <v>1011</v>
      </c>
      <c r="G278" s="5">
        <v>2404</v>
      </c>
      <c r="H278">
        <v>18</v>
      </c>
      <c r="I278" t="s">
        <v>1023</v>
      </c>
      <c r="J278" t="str">
        <f t="shared" si="16"/>
        <v>Low Risk</v>
      </c>
      <c r="K278" t="str">
        <f t="shared" si="17"/>
        <v>Young</v>
      </c>
      <c r="L278" t="str">
        <f t="shared" si="18"/>
        <v>Medium</v>
      </c>
      <c r="M278" t="str">
        <f t="shared" si="19"/>
        <v>Low Risk</v>
      </c>
    </row>
    <row r="279" spans="1:13" x14ac:dyDescent="0.3">
      <c r="A279">
        <v>49</v>
      </c>
      <c r="B279" t="s">
        <v>1010</v>
      </c>
      <c r="C279">
        <v>1</v>
      </c>
      <c r="D279" t="s">
        <v>1016</v>
      </c>
      <c r="E279" t="s">
        <v>1011</v>
      </c>
      <c r="F279" t="s">
        <v>1012</v>
      </c>
      <c r="G279" s="5">
        <v>1262</v>
      </c>
      <c r="H279">
        <v>12</v>
      </c>
      <c r="I279" t="s">
        <v>1022</v>
      </c>
      <c r="J279" t="str">
        <f t="shared" si="16"/>
        <v>Low Risk</v>
      </c>
      <c r="K279" t="str">
        <f t="shared" si="17"/>
        <v>Senior</v>
      </c>
      <c r="L279" t="str">
        <f t="shared" si="18"/>
        <v>Medium</v>
      </c>
      <c r="M279" t="str">
        <f t="shared" si="19"/>
        <v>Low Risk</v>
      </c>
    </row>
    <row r="280" spans="1:13" x14ac:dyDescent="0.3">
      <c r="A280">
        <v>32</v>
      </c>
      <c r="B280" t="s">
        <v>1009</v>
      </c>
      <c r="C280">
        <v>2</v>
      </c>
      <c r="D280" t="s">
        <v>1016</v>
      </c>
      <c r="E280" t="s">
        <v>1012</v>
      </c>
      <c r="F280" t="s">
        <v>1011</v>
      </c>
      <c r="G280" s="5">
        <v>4611</v>
      </c>
      <c r="H280">
        <v>6</v>
      </c>
      <c r="I280" t="s">
        <v>1022</v>
      </c>
      <c r="J280" t="str">
        <f t="shared" si="16"/>
        <v>Low Risk</v>
      </c>
      <c r="K280" t="str">
        <f t="shared" si="17"/>
        <v>Senior</v>
      </c>
      <c r="L280" t="str">
        <f t="shared" si="18"/>
        <v>Short</v>
      </c>
      <c r="M280" t="str">
        <f t="shared" si="19"/>
        <v>Medium Risk</v>
      </c>
    </row>
    <row r="281" spans="1:13" x14ac:dyDescent="0.3">
      <c r="A281">
        <v>29</v>
      </c>
      <c r="B281" t="s">
        <v>1010</v>
      </c>
      <c r="C281">
        <v>3</v>
      </c>
      <c r="D281" t="s">
        <v>1017</v>
      </c>
      <c r="E281" t="s">
        <v>1013</v>
      </c>
      <c r="F281" t="s">
        <v>1011</v>
      </c>
      <c r="G281" s="5">
        <v>1901</v>
      </c>
      <c r="H281">
        <v>24</v>
      </c>
      <c r="I281" t="s">
        <v>1023</v>
      </c>
      <c r="J281" t="str">
        <f t="shared" si="16"/>
        <v>Low Risk</v>
      </c>
      <c r="K281" t="str">
        <f t="shared" si="17"/>
        <v>Young</v>
      </c>
      <c r="L281" t="str">
        <f t="shared" si="18"/>
        <v>Medium</v>
      </c>
      <c r="M281" t="str">
        <f t="shared" si="19"/>
        <v>Low Risk</v>
      </c>
    </row>
    <row r="282" spans="1:13" x14ac:dyDescent="0.3">
      <c r="A282">
        <v>23</v>
      </c>
      <c r="B282" t="s">
        <v>1010</v>
      </c>
      <c r="C282">
        <v>2</v>
      </c>
      <c r="D282" t="s">
        <v>1017</v>
      </c>
      <c r="E282" t="s">
        <v>1008</v>
      </c>
      <c r="F282" t="s">
        <v>1011</v>
      </c>
      <c r="G282" s="5">
        <v>3368</v>
      </c>
      <c r="H282">
        <v>15</v>
      </c>
      <c r="I282" t="s">
        <v>1019</v>
      </c>
      <c r="J282" t="str">
        <f t="shared" si="16"/>
        <v>Low Risk</v>
      </c>
      <c r="K282" t="str">
        <f t="shared" si="17"/>
        <v>Young</v>
      </c>
      <c r="L282" t="str">
        <f t="shared" si="18"/>
        <v>Medium</v>
      </c>
      <c r="M282" t="str">
        <f t="shared" si="19"/>
        <v>Medium Risk</v>
      </c>
    </row>
    <row r="283" spans="1:13" x14ac:dyDescent="0.3">
      <c r="A283">
        <v>50</v>
      </c>
      <c r="B283" t="s">
        <v>1010</v>
      </c>
      <c r="C283">
        <v>2</v>
      </c>
      <c r="D283" t="s">
        <v>1016</v>
      </c>
      <c r="E283" t="s">
        <v>1012</v>
      </c>
      <c r="F283" t="s">
        <v>1011</v>
      </c>
      <c r="G283" s="5">
        <v>1574</v>
      </c>
      <c r="H283">
        <v>12</v>
      </c>
      <c r="I283" t="s">
        <v>1022</v>
      </c>
      <c r="J283" t="str">
        <f t="shared" si="16"/>
        <v>Low Risk</v>
      </c>
      <c r="K283" t="str">
        <f t="shared" si="17"/>
        <v>Senior</v>
      </c>
      <c r="L283" t="str">
        <f t="shared" si="18"/>
        <v>Medium</v>
      </c>
      <c r="M283" t="str">
        <f t="shared" si="19"/>
        <v>Low Risk</v>
      </c>
    </row>
    <row r="284" spans="1:13" x14ac:dyDescent="0.3">
      <c r="A284">
        <v>49</v>
      </c>
      <c r="B284" t="s">
        <v>1010</v>
      </c>
      <c r="C284">
        <v>1</v>
      </c>
      <c r="D284" t="s">
        <v>1016</v>
      </c>
      <c r="E284" t="s">
        <v>1011</v>
      </c>
      <c r="F284" t="s">
        <v>1008</v>
      </c>
      <c r="G284" s="5">
        <v>1445</v>
      </c>
      <c r="H284">
        <v>18</v>
      </c>
      <c r="I284" t="s">
        <v>1023</v>
      </c>
      <c r="J284" t="str">
        <f t="shared" si="16"/>
        <v>Low Risk</v>
      </c>
      <c r="K284" t="str">
        <f t="shared" si="17"/>
        <v>Senior</v>
      </c>
      <c r="L284" t="str">
        <f t="shared" si="18"/>
        <v>Medium</v>
      </c>
      <c r="M284" t="str">
        <f t="shared" si="19"/>
        <v>Low Risk</v>
      </c>
    </row>
    <row r="285" spans="1:13" x14ac:dyDescent="0.3">
      <c r="A285">
        <v>63</v>
      </c>
      <c r="B285" t="s">
        <v>1010</v>
      </c>
      <c r="C285">
        <v>2</v>
      </c>
      <c r="D285" t="s">
        <v>1016</v>
      </c>
      <c r="E285" t="s">
        <v>1011</v>
      </c>
      <c r="F285" t="s">
        <v>1011</v>
      </c>
      <c r="G285" s="5">
        <v>1520</v>
      </c>
      <c r="H285">
        <v>15</v>
      </c>
      <c r="I285" t="s">
        <v>1022</v>
      </c>
      <c r="J285" t="str">
        <f t="shared" si="16"/>
        <v>Low Risk</v>
      </c>
      <c r="K285" t="str">
        <f t="shared" si="17"/>
        <v>Adult</v>
      </c>
      <c r="L285" t="str">
        <f t="shared" si="18"/>
        <v>Medium</v>
      </c>
      <c r="M285" t="str">
        <f t="shared" si="19"/>
        <v>Low Risk</v>
      </c>
    </row>
    <row r="286" spans="1:13" x14ac:dyDescent="0.3">
      <c r="A286">
        <v>37</v>
      </c>
      <c r="B286" t="s">
        <v>1010</v>
      </c>
      <c r="C286">
        <v>2</v>
      </c>
      <c r="D286" t="s">
        <v>1016</v>
      </c>
      <c r="E286" t="s">
        <v>1013</v>
      </c>
      <c r="F286" t="s">
        <v>1013</v>
      </c>
      <c r="G286" s="5">
        <v>3878</v>
      </c>
      <c r="H286">
        <v>24</v>
      </c>
      <c r="I286" t="s">
        <v>1019</v>
      </c>
      <c r="J286" t="str">
        <f t="shared" si="16"/>
        <v>Low Risk</v>
      </c>
      <c r="K286" t="str">
        <f t="shared" si="17"/>
        <v>Senior</v>
      </c>
      <c r="L286" t="str">
        <f t="shared" si="18"/>
        <v>Medium</v>
      </c>
      <c r="M286" t="str">
        <f t="shared" si="19"/>
        <v>Medium Risk</v>
      </c>
    </row>
    <row r="287" spans="1:13" x14ac:dyDescent="0.3">
      <c r="A287">
        <v>35</v>
      </c>
      <c r="B287" t="s">
        <v>1009</v>
      </c>
      <c r="C287">
        <v>1</v>
      </c>
      <c r="D287" t="s">
        <v>1016</v>
      </c>
      <c r="E287" t="s">
        <v>1012</v>
      </c>
      <c r="F287" t="s">
        <v>1012</v>
      </c>
      <c r="G287" s="5">
        <v>10722</v>
      </c>
      <c r="H287">
        <v>47</v>
      </c>
      <c r="I287" t="s">
        <v>1019</v>
      </c>
      <c r="J287" t="str">
        <f t="shared" si="16"/>
        <v>High Risk</v>
      </c>
      <c r="K287" t="str">
        <f t="shared" si="17"/>
        <v>Senior</v>
      </c>
      <c r="L287" t="str">
        <f t="shared" si="18"/>
        <v>Long</v>
      </c>
      <c r="M287" t="str">
        <f t="shared" si="19"/>
        <v>HighRisk</v>
      </c>
    </row>
    <row r="288" spans="1:13" x14ac:dyDescent="0.3">
      <c r="A288">
        <v>26</v>
      </c>
      <c r="B288" t="s">
        <v>1010</v>
      </c>
      <c r="C288">
        <v>2</v>
      </c>
      <c r="D288" t="s">
        <v>1016</v>
      </c>
      <c r="E288" t="s">
        <v>1012</v>
      </c>
      <c r="F288" t="s">
        <v>1012</v>
      </c>
      <c r="G288" s="5">
        <v>4788</v>
      </c>
      <c r="H288">
        <v>48</v>
      </c>
      <c r="I288" t="s">
        <v>1019</v>
      </c>
      <c r="J288" t="str">
        <f t="shared" si="16"/>
        <v>High Risk</v>
      </c>
      <c r="K288" t="str">
        <f t="shared" si="17"/>
        <v>Young</v>
      </c>
      <c r="L288" t="str">
        <f t="shared" si="18"/>
        <v>Long</v>
      </c>
      <c r="M288" t="str">
        <f t="shared" si="19"/>
        <v>Medium Risk</v>
      </c>
    </row>
    <row r="289" spans="1:13" x14ac:dyDescent="0.3">
      <c r="A289">
        <v>31</v>
      </c>
      <c r="B289" t="s">
        <v>1010</v>
      </c>
      <c r="C289">
        <v>3</v>
      </c>
      <c r="D289" t="s">
        <v>1015</v>
      </c>
      <c r="E289" t="s">
        <v>1013</v>
      </c>
      <c r="F289" t="s">
        <v>1013</v>
      </c>
      <c r="G289" s="5">
        <v>7582</v>
      </c>
      <c r="H289">
        <v>48</v>
      </c>
      <c r="I289" t="s">
        <v>1025</v>
      </c>
      <c r="J289" t="str">
        <f t="shared" si="16"/>
        <v>High Risk</v>
      </c>
      <c r="K289" t="str">
        <f t="shared" si="17"/>
        <v>Senior</v>
      </c>
      <c r="L289" t="str">
        <f t="shared" si="18"/>
        <v>Long</v>
      </c>
      <c r="M289" t="str">
        <f t="shared" si="19"/>
        <v>HighRisk</v>
      </c>
    </row>
    <row r="290" spans="1:13" x14ac:dyDescent="0.3">
      <c r="A290">
        <v>49</v>
      </c>
      <c r="B290" t="s">
        <v>1009</v>
      </c>
      <c r="C290">
        <v>2</v>
      </c>
      <c r="D290" t="s">
        <v>1016</v>
      </c>
      <c r="E290" t="s">
        <v>1012</v>
      </c>
      <c r="F290" t="s">
        <v>1013</v>
      </c>
      <c r="G290" s="5">
        <v>1092</v>
      </c>
      <c r="H290">
        <v>12</v>
      </c>
      <c r="I290" t="s">
        <v>1023</v>
      </c>
      <c r="J290" t="str">
        <f t="shared" si="16"/>
        <v>Low Risk</v>
      </c>
      <c r="K290" t="str">
        <f t="shared" si="17"/>
        <v>Senior</v>
      </c>
      <c r="L290" t="str">
        <f t="shared" si="18"/>
        <v>Medium</v>
      </c>
      <c r="M290" t="str">
        <f t="shared" si="19"/>
        <v>Low Risk</v>
      </c>
    </row>
    <row r="291" spans="1:13" x14ac:dyDescent="0.3">
      <c r="A291">
        <v>48</v>
      </c>
      <c r="B291" t="s">
        <v>1010</v>
      </c>
      <c r="C291">
        <v>2</v>
      </c>
      <c r="D291" t="s">
        <v>1016</v>
      </c>
      <c r="E291" t="s">
        <v>1012</v>
      </c>
      <c r="F291" t="s">
        <v>1012</v>
      </c>
      <c r="G291" s="5">
        <v>1024</v>
      </c>
      <c r="H291">
        <v>24</v>
      </c>
      <c r="I291" t="s">
        <v>1023</v>
      </c>
      <c r="J291" t="str">
        <f t="shared" si="16"/>
        <v>Low Risk</v>
      </c>
      <c r="K291" t="str">
        <f t="shared" si="17"/>
        <v>Senior</v>
      </c>
      <c r="L291" t="str">
        <f t="shared" si="18"/>
        <v>Medium</v>
      </c>
      <c r="M291" t="str">
        <f t="shared" si="19"/>
        <v>Low Risk</v>
      </c>
    </row>
    <row r="292" spans="1:13" x14ac:dyDescent="0.3">
      <c r="A292">
        <v>26</v>
      </c>
      <c r="B292" t="s">
        <v>1010</v>
      </c>
      <c r="C292">
        <v>2</v>
      </c>
      <c r="D292" t="s">
        <v>1016</v>
      </c>
      <c r="E292" t="s">
        <v>1012</v>
      </c>
      <c r="F292" t="s">
        <v>1011</v>
      </c>
      <c r="G292" s="5">
        <v>1076</v>
      </c>
      <c r="H292">
        <v>12</v>
      </c>
      <c r="I292" t="s">
        <v>1018</v>
      </c>
      <c r="J292" t="str">
        <f t="shared" si="16"/>
        <v>Low Risk</v>
      </c>
      <c r="K292" t="str">
        <f t="shared" si="17"/>
        <v>Young</v>
      </c>
      <c r="L292" t="str">
        <f t="shared" si="18"/>
        <v>Medium</v>
      </c>
      <c r="M292" t="str">
        <f t="shared" si="19"/>
        <v>Low Risk</v>
      </c>
    </row>
    <row r="293" spans="1:13" x14ac:dyDescent="0.3">
      <c r="A293">
        <v>28</v>
      </c>
      <c r="B293" t="s">
        <v>1010</v>
      </c>
      <c r="C293">
        <v>3</v>
      </c>
      <c r="D293" t="s">
        <v>1017</v>
      </c>
      <c r="E293" t="s">
        <v>1012</v>
      </c>
      <c r="F293" t="s">
        <v>1013</v>
      </c>
      <c r="G293" s="5">
        <v>9398</v>
      </c>
      <c r="H293">
        <v>36</v>
      </c>
      <c r="I293" t="s">
        <v>1019</v>
      </c>
      <c r="J293" t="str">
        <f t="shared" si="16"/>
        <v>High Risk</v>
      </c>
      <c r="K293" t="str">
        <f t="shared" si="17"/>
        <v>Young</v>
      </c>
      <c r="L293" t="str">
        <f t="shared" si="18"/>
        <v>Long</v>
      </c>
      <c r="M293" t="str">
        <f t="shared" si="19"/>
        <v>HighRisk</v>
      </c>
    </row>
    <row r="294" spans="1:13" x14ac:dyDescent="0.3">
      <c r="A294">
        <v>44</v>
      </c>
      <c r="B294" t="s">
        <v>1009</v>
      </c>
      <c r="C294">
        <v>3</v>
      </c>
      <c r="D294" t="s">
        <v>1015</v>
      </c>
      <c r="E294" t="s">
        <v>1012</v>
      </c>
      <c r="F294" t="s">
        <v>1012</v>
      </c>
      <c r="G294" s="5">
        <v>6419</v>
      </c>
      <c r="H294">
        <v>24</v>
      </c>
      <c r="I294" t="s">
        <v>1019</v>
      </c>
      <c r="J294" t="str">
        <f t="shared" si="16"/>
        <v>Low Risk</v>
      </c>
      <c r="K294" t="str">
        <f t="shared" si="17"/>
        <v>Senior</v>
      </c>
      <c r="L294" t="str">
        <f t="shared" si="18"/>
        <v>Medium</v>
      </c>
      <c r="M294" t="str">
        <f t="shared" si="19"/>
        <v>HighRisk</v>
      </c>
    </row>
    <row r="295" spans="1:13" x14ac:dyDescent="0.3">
      <c r="A295">
        <v>56</v>
      </c>
      <c r="B295" t="s">
        <v>1010</v>
      </c>
      <c r="C295">
        <v>2</v>
      </c>
      <c r="D295" t="s">
        <v>1015</v>
      </c>
      <c r="E295" t="s">
        <v>1012</v>
      </c>
      <c r="F295" t="s">
        <v>1008</v>
      </c>
      <c r="G295" s="5">
        <v>4796</v>
      </c>
      <c r="H295">
        <v>42</v>
      </c>
      <c r="I295" t="s">
        <v>1019</v>
      </c>
      <c r="J295" t="str">
        <f t="shared" si="16"/>
        <v>High Risk</v>
      </c>
      <c r="K295" t="str">
        <f t="shared" si="17"/>
        <v>Adult</v>
      </c>
      <c r="L295" t="str">
        <f t="shared" si="18"/>
        <v>Long</v>
      </c>
      <c r="M295" t="str">
        <f t="shared" si="19"/>
        <v>Medium Risk</v>
      </c>
    </row>
    <row r="296" spans="1:13" x14ac:dyDescent="0.3">
      <c r="A296">
        <v>46</v>
      </c>
      <c r="B296" t="s">
        <v>1010</v>
      </c>
      <c r="C296">
        <v>3</v>
      </c>
      <c r="D296" t="s">
        <v>1016</v>
      </c>
      <c r="E296" t="s">
        <v>1011</v>
      </c>
      <c r="F296" t="s">
        <v>1011</v>
      </c>
      <c r="G296" s="5">
        <v>7629</v>
      </c>
      <c r="H296">
        <v>48</v>
      </c>
      <c r="I296" t="s">
        <v>1018</v>
      </c>
      <c r="J296" t="str">
        <f t="shared" si="16"/>
        <v>High Risk</v>
      </c>
      <c r="K296" t="str">
        <f t="shared" si="17"/>
        <v>Senior</v>
      </c>
      <c r="L296" t="str">
        <f t="shared" si="18"/>
        <v>Long</v>
      </c>
      <c r="M296" t="str">
        <f t="shared" si="19"/>
        <v>HighRisk</v>
      </c>
    </row>
    <row r="297" spans="1:13" x14ac:dyDescent="0.3">
      <c r="A297">
        <v>26</v>
      </c>
      <c r="B297" t="s">
        <v>1009</v>
      </c>
      <c r="C297">
        <v>2</v>
      </c>
      <c r="D297" t="s">
        <v>1016</v>
      </c>
      <c r="E297" t="s">
        <v>1012</v>
      </c>
      <c r="F297" t="s">
        <v>1013</v>
      </c>
      <c r="G297" s="5">
        <v>9960</v>
      </c>
      <c r="H297">
        <v>48</v>
      </c>
      <c r="I297" t="s">
        <v>1022</v>
      </c>
      <c r="J297" t="str">
        <f t="shared" si="16"/>
        <v>High Risk</v>
      </c>
      <c r="K297" t="str">
        <f t="shared" si="17"/>
        <v>Young</v>
      </c>
      <c r="L297" t="str">
        <f t="shared" si="18"/>
        <v>Long</v>
      </c>
      <c r="M297" t="str">
        <f t="shared" si="19"/>
        <v>HighRisk</v>
      </c>
    </row>
    <row r="298" spans="1:13" x14ac:dyDescent="0.3">
      <c r="A298">
        <v>20</v>
      </c>
      <c r="B298" t="s">
        <v>1009</v>
      </c>
      <c r="C298">
        <v>2</v>
      </c>
      <c r="D298" t="s">
        <v>1017</v>
      </c>
      <c r="E298" t="s">
        <v>1011</v>
      </c>
      <c r="F298" t="s">
        <v>1011</v>
      </c>
      <c r="G298" s="5">
        <v>4675</v>
      </c>
      <c r="H298">
        <v>12</v>
      </c>
      <c r="I298" t="s">
        <v>1019</v>
      </c>
      <c r="J298" t="str">
        <f t="shared" si="16"/>
        <v>Low Risk</v>
      </c>
      <c r="K298" t="str">
        <f t="shared" si="17"/>
        <v>Young</v>
      </c>
      <c r="L298" t="str">
        <f t="shared" si="18"/>
        <v>Medium</v>
      </c>
      <c r="M298" t="str">
        <f t="shared" si="19"/>
        <v>Medium Risk</v>
      </c>
    </row>
    <row r="299" spans="1:13" x14ac:dyDescent="0.3">
      <c r="A299">
        <v>45</v>
      </c>
      <c r="B299" t="s">
        <v>1010</v>
      </c>
      <c r="C299">
        <v>1</v>
      </c>
      <c r="D299" t="s">
        <v>1016</v>
      </c>
      <c r="E299" t="s">
        <v>1011</v>
      </c>
      <c r="F299" t="s">
        <v>1011</v>
      </c>
      <c r="G299" s="5">
        <v>1287</v>
      </c>
      <c r="H299">
        <v>10</v>
      </c>
      <c r="I299" t="s">
        <v>1019</v>
      </c>
      <c r="J299" t="str">
        <f t="shared" si="16"/>
        <v>Low Risk</v>
      </c>
      <c r="K299" t="str">
        <f t="shared" si="17"/>
        <v>Senior</v>
      </c>
      <c r="L299" t="str">
        <f t="shared" si="18"/>
        <v>Short</v>
      </c>
      <c r="M299" t="str">
        <f t="shared" si="19"/>
        <v>Low Risk</v>
      </c>
    </row>
    <row r="300" spans="1:13" x14ac:dyDescent="0.3">
      <c r="A300">
        <v>43</v>
      </c>
      <c r="B300" t="s">
        <v>1010</v>
      </c>
      <c r="C300">
        <v>2</v>
      </c>
      <c r="D300" t="s">
        <v>1016</v>
      </c>
      <c r="E300" t="s">
        <v>1012</v>
      </c>
      <c r="F300" t="s">
        <v>1011</v>
      </c>
      <c r="G300" s="5">
        <v>2515</v>
      </c>
      <c r="H300">
        <v>18</v>
      </c>
      <c r="I300" t="s">
        <v>1022</v>
      </c>
      <c r="J300" t="str">
        <f t="shared" si="16"/>
        <v>Low Risk</v>
      </c>
      <c r="K300" t="str">
        <f t="shared" si="17"/>
        <v>Senior</v>
      </c>
      <c r="L300" t="str">
        <f t="shared" si="18"/>
        <v>Medium</v>
      </c>
      <c r="M300" t="str">
        <f t="shared" si="19"/>
        <v>Low Risk</v>
      </c>
    </row>
    <row r="301" spans="1:13" x14ac:dyDescent="0.3">
      <c r="A301">
        <v>32</v>
      </c>
      <c r="B301" t="s">
        <v>1010</v>
      </c>
      <c r="C301">
        <v>2</v>
      </c>
      <c r="D301" t="s">
        <v>1016</v>
      </c>
      <c r="E301" t="s">
        <v>1008</v>
      </c>
      <c r="F301" t="s">
        <v>1013</v>
      </c>
      <c r="G301" s="5">
        <v>2745</v>
      </c>
      <c r="H301">
        <v>21</v>
      </c>
      <c r="I301" t="s">
        <v>1022</v>
      </c>
      <c r="J301" t="str">
        <f t="shared" si="16"/>
        <v>Low Risk</v>
      </c>
      <c r="K301" t="str">
        <f t="shared" si="17"/>
        <v>Senior</v>
      </c>
      <c r="L301" t="str">
        <f t="shared" si="18"/>
        <v>Medium</v>
      </c>
      <c r="M301" t="str">
        <f t="shared" si="19"/>
        <v>Low Risk</v>
      </c>
    </row>
    <row r="302" spans="1:13" x14ac:dyDescent="0.3">
      <c r="A302">
        <v>54</v>
      </c>
      <c r="B302" t="s">
        <v>1009</v>
      </c>
      <c r="C302">
        <v>0</v>
      </c>
      <c r="D302" t="s">
        <v>1016</v>
      </c>
      <c r="E302" t="s">
        <v>1012</v>
      </c>
      <c r="F302" t="s">
        <v>1011</v>
      </c>
      <c r="G302" s="5">
        <v>672</v>
      </c>
      <c r="H302">
        <v>6</v>
      </c>
      <c r="I302" t="s">
        <v>1019</v>
      </c>
      <c r="J302" t="str">
        <f t="shared" si="16"/>
        <v>Low Risk</v>
      </c>
      <c r="K302" t="str">
        <f t="shared" si="17"/>
        <v>Adult</v>
      </c>
      <c r="L302" t="str">
        <f t="shared" si="18"/>
        <v>Short</v>
      </c>
      <c r="M302" t="str">
        <f t="shared" si="19"/>
        <v>Low Risk</v>
      </c>
    </row>
    <row r="303" spans="1:13" x14ac:dyDescent="0.3">
      <c r="A303">
        <v>42</v>
      </c>
      <c r="B303" t="s">
        <v>1009</v>
      </c>
      <c r="C303">
        <v>2</v>
      </c>
      <c r="D303" t="s">
        <v>1016</v>
      </c>
      <c r="E303" t="s">
        <v>1012</v>
      </c>
      <c r="F303" t="s">
        <v>1013</v>
      </c>
      <c r="G303" s="5">
        <v>3804</v>
      </c>
      <c r="H303">
        <v>36</v>
      </c>
      <c r="I303" t="s">
        <v>1023</v>
      </c>
      <c r="J303" t="str">
        <f t="shared" si="16"/>
        <v>Low Risk</v>
      </c>
      <c r="K303" t="str">
        <f t="shared" si="17"/>
        <v>Senior</v>
      </c>
      <c r="L303" t="str">
        <f t="shared" si="18"/>
        <v>Long</v>
      </c>
      <c r="M303" t="str">
        <f t="shared" si="19"/>
        <v>Medium Risk</v>
      </c>
    </row>
    <row r="304" spans="1:13" x14ac:dyDescent="0.3">
      <c r="A304">
        <v>37</v>
      </c>
      <c r="B304" t="s">
        <v>1010</v>
      </c>
      <c r="C304">
        <v>1</v>
      </c>
      <c r="D304" t="s">
        <v>1016</v>
      </c>
      <c r="E304" t="s">
        <v>1011</v>
      </c>
      <c r="F304" t="s">
        <v>1008</v>
      </c>
      <c r="G304" s="5">
        <v>1344</v>
      </c>
      <c r="H304">
        <v>24</v>
      </c>
      <c r="I304" t="s">
        <v>1019</v>
      </c>
      <c r="J304" t="str">
        <f t="shared" si="16"/>
        <v>Low Risk</v>
      </c>
      <c r="K304" t="str">
        <f t="shared" si="17"/>
        <v>Senior</v>
      </c>
      <c r="L304" t="str">
        <f t="shared" si="18"/>
        <v>Medium</v>
      </c>
      <c r="M304" t="str">
        <f t="shared" si="19"/>
        <v>Low Risk</v>
      </c>
    </row>
    <row r="305" spans="1:13" x14ac:dyDescent="0.3">
      <c r="A305">
        <v>49</v>
      </c>
      <c r="B305" t="s">
        <v>1010</v>
      </c>
      <c r="C305">
        <v>2</v>
      </c>
      <c r="D305" t="s">
        <v>1016</v>
      </c>
      <c r="E305" t="s">
        <v>1012</v>
      </c>
      <c r="F305" t="s">
        <v>1012</v>
      </c>
      <c r="G305" s="5">
        <v>1038</v>
      </c>
      <c r="H305">
        <v>10</v>
      </c>
      <c r="I305" t="s">
        <v>1019</v>
      </c>
      <c r="J305" t="str">
        <f t="shared" si="16"/>
        <v>Low Risk</v>
      </c>
      <c r="K305" t="str">
        <f t="shared" si="17"/>
        <v>Senior</v>
      </c>
      <c r="L305" t="str">
        <f t="shared" si="18"/>
        <v>Short</v>
      </c>
      <c r="M305" t="str">
        <f t="shared" si="19"/>
        <v>Low Risk</v>
      </c>
    </row>
    <row r="306" spans="1:13" x14ac:dyDescent="0.3">
      <c r="A306">
        <v>44</v>
      </c>
      <c r="B306" t="s">
        <v>1010</v>
      </c>
      <c r="C306">
        <v>2</v>
      </c>
      <c r="D306" t="s">
        <v>1015</v>
      </c>
      <c r="E306" t="s">
        <v>1014</v>
      </c>
      <c r="F306" t="s">
        <v>1011</v>
      </c>
      <c r="G306" s="5">
        <v>10127</v>
      </c>
      <c r="H306">
        <v>48</v>
      </c>
      <c r="I306" t="s">
        <v>1019</v>
      </c>
      <c r="J306" t="str">
        <f t="shared" si="16"/>
        <v>High Risk</v>
      </c>
      <c r="K306" t="str">
        <f t="shared" si="17"/>
        <v>Senior</v>
      </c>
      <c r="L306" t="str">
        <f t="shared" si="18"/>
        <v>Long</v>
      </c>
      <c r="M306" t="str">
        <f t="shared" si="19"/>
        <v>HighRisk</v>
      </c>
    </row>
    <row r="307" spans="1:13" x14ac:dyDescent="0.3">
      <c r="A307">
        <v>33</v>
      </c>
      <c r="B307" t="s">
        <v>1010</v>
      </c>
      <c r="C307">
        <v>2</v>
      </c>
      <c r="D307" t="s">
        <v>1016</v>
      </c>
      <c r="E307" t="s">
        <v>1008</v>
      </c>
      <c r="F307" t="s">
        <v>1011</v>
      </c>
      <c r="G307" s="5">
        <v>1543</v>
      </c>
      <c r="H307">
        <v>6</v>
      </c>
      <c r="I307" t="s">
        <v>1022</v>
      </c>
      <c r="J307" t="str">
        <f t="shared" si="16"/>
        <v>Low Risk</v>
      </c>
      <c r="K307" t="str">
        <f t="shared" si="17"/>
        <v>Senior</v>
      </c>
      <c r="L307" t="str">
        <f t="shared" si="18"/>
        <v>Short</v>
      </c>
      <c r="M307" t="str">
        <f t="shared" si="19"/>
        <v>Low Risk</v>
      </c>
    </row>
    <row r="308" spans="1:13" x14ac:dyDescent="0.3">
      <c r="A308">
        <v>24</v>
      </c>
      <c r="B308" t="s">
        <v>1009</v>
      </c>
      <c r="C308">
        <v>1</v>
      </c>
      <c r="D308" t="s">
        <v>1017</v>
      </c>
      <c r="E308" t="s">
        <v>1011</v>
      </c>
      <c r="F308" t="s">
        <v>1011</v>
      </c>
      <c r="G308" s="5">
        <v>4811</v>
      </c>
      <c r="H308">
        <v>30</v>
      </c>
      <c r="I308" t="s">
        <v>1019</v>
      </c>
      <c r="J308" t="str">
        <f t="shared" si="16"/>
        <v>Medium Risk</v>
      </c>
      <c r="K308" t="str">
        <f t="shared" si="17"/>
        <v>Young</v>
      </c>
      <c r="L308" t="str">
        <f t="shared" si="18"/>
        <v>Medium</v>
      </c>
      <c r="M308" t="str">
        <f t="shared" si="19"/>
        <v>Medium Risk</v>
      </c>
    </row>
    <row r="309" spans="1:13" x14ac:dyDescent="0.3">
      <c r="A309">
        <v>33</v>
      </c>
      <c r="B309" t="s">
        <v>1010</v>
      </c>
      <c r="C309">
        <v>1</v>
      </c>
      <c r="D309" t="s">
        <v>1016</v>
      </c>
      <c r="E309" t="s">
        <v>1013</v>
      </c>
      <c r="F309" t="s">
        <v>1012</v>
      </c>
      <c r="G309" s="5">
        <v>727</v>
      </c>
      <c r="H309">
        <v>12</v>
      </c>
      <c r="I309" t="s">
        <v>1023</v>
      </c>
      <c r="J309" t="str">
        <f t="shared" si="16"/>
        <v>Low Risk</v>
      </c>
      <c r="K309" t="str">
        <f t="shared" si="17"/>
        <v>Senior</v>
      </c>
      <c r="L309" t="str">
        <f t="shared" si="18"/>
        <v>Medium</v>
      </c>
      <c r="M309" t="str">
        <f t="shared" si="19"/>
        <v>Low Risk</v>
      </c>
    </row>
    <row r="310" spans="1:13" x14ac:dyDescent="0.3">
      <c r="A310">
        <v>24</v>
      </c>
      <c r="B310" t="s">
        <v>1009</v>
      </c>
      <c r="C310">
        <v>2</v>
      </c>
      <c r="D310" t="s">
        <v>1016</v>
      </c>
      <c r="E310" t="s">
        <v>1012</v>
      </c>
      <c r="F310" t="s">
        <v>1013</v>
      </c>
      <c r="G310" s="5">
        <v>1237</v>
      </c>
      <c r="H310">
        <v>8</v>
      </c>
      <c r="I310" t="s">
        <v>1022</v>
      </c>
      <c r="J310" t="str">
        <f t="shared" si="16"/>
        <v>Low Risk</v>
      </c>
      <c r="K310" t="str">
        <f t="shared" si="17"/>
        <v>Young</v>
      </c>
      <c r="L310" t="str">
        <f t="shared" si="18"/>
        <v>Short</v>
      </c>
      <c r="M310" t="str">
        <f t="shared" si="19"/>
        <v>Low Risk</v>
      </c>
    </row>
    <row r="311" spans="1:13" x14ac:dyDescent="0.3">
      <c r="A311">
        <v>22</v>
      </c>
      <c r="B311" t="s">
        <v>1010</v>
      </c>
      <c r="C311">
        <v>1</v>
      </c>
      <c r="D311" t="s">
        <v>1017</v>
      </c>
      <c r="E311" t="s">
        <v>1012</v>
      </c>
      <c r="F311" t="s">
        <v>1013</v>
      </c>
      <c r="G311" s="5">
        <v>276</v>
      </c>
      <c r="H311">
        <v>9</v>
      </c>
      <c r="I311" t="s">
        <v>1019</v>
      </c>
      <c r="J311" t="str">
        <f t="shared" si="16"/>
        <v>Low Risk</v>
      </c>
      <c r="K311" t="str">
        <f t="shared" si="17"/>
        <v>Young</v>
      </c>
      <c r="L311" t="str">
        <f t="shared" si="18"/>
        <v>Short</v>
      </c>
      <c r="M311" t="str">
        <f t="shared" si="19"/>
        <v>Low Risk</v>
      </c>
    </row>
    <row r="312" spans="1:13" x14ac:dyDescent="0.3">
      <c r="A312">
        <v>40</v>
      </c>
      <c r="B312" t="s">
        <v>1010</v>
      </c>
      <c r="C312">
        <v>0</v>
      </c>
      <c r="D312" t="s">
        <v>1015</v>
      </c>
      <c r="E312" t="s">
        <v>1011</v>
      </c>
      <c r="F312" t="s">
        <v>1013</v>
      </c>
      <c r="G312" s="5">
        <v>5381</v>
      </c>
      <c r="H312">
        <v>48</v>
      </c>
      <c r="I312" t="s">
        <v>1025</v>
      </c>
      <c r="J312" t="str">
        <f t="shared" si="16"/>
        <v>High Risk</v>
      </c>
      <c r="K312" t="str">
        <f t="shared" si="17"/>
        <v>Senior</v>
      </c>
      <c r="L312" t="str">
        <f t="shared" si="18"/>
        <v>Long</v>
      </c>
      <c r="M312" t="str">
        <f t="shared" si="19"/>
        <v>Medium Risk</v>
      </c>
    </row>
    <row r="313" spans="1:13" x14ac:dyDescent="0.3">
      <c r="A313">
        <v>25</v>
      </c>
      <c r="B313" t="s">
        <v>1010</v>
      </c>
      <c r="C313">
        <v>2</v>
      </c>
      <c r="D313" t="s">
        <v>1016</v>
      </c>
      <c r="E313" t="s">
        <v>1013</v>
      </c>
      <c r="F313" t="s">
        <v>1011</v>
      </c>
      <c r="G313" s="5">
        <v>5511</v>
      </c>
      <c r="H313">
        <v>24</v>
      </c>
      <c r="I313" t="s">
        <v>1022</v>
      </c>
      <c r="J313" t="str">
        <f t="shared" si="16"/>
        <v>Low Risk</v>
      </c>
      <c r="K313" t="str">
        <f t="shared" si="17"/>
        <v>Young</v>
      </c>
      <c r="L313" t="str">
        <f t="shared" si="18"/>
        <v>Medium</v>
      </c>
      <c r="M313" t="str">
        <f t="shared" si="19"/>
        <v>Medium Risk</v>
      </c>
    </row>
    <row r="314" spans="1:13" x14ac:dyDescent="0.3">
      <c r="A314">
        <v>26</v>
      </c>
      <c r="B314" t="s">
        <v>1009</v>
      </c>
      <c r="C314">
        <v>2</v>
      </c>
      <c r="D314" t="s">
        <v>1016</v>
      </c>
      <c r="E314" t="s">
        <v>1012</v>
      </c>
      <c r="F314" t="s">
        <v>1008</v>
      </c>
      <c r="G314" s="5">
        <v>3749</v>
      </c>
      <c r="H314">
        <v>24</v>
      </c>
      <c r="I314" t="s">
        <v>1022</v>
      </c>
      <c r="J314" t="str">
        <f t="shared" si="16"/>
        <v>Low Risk</v>
      </c>
      <c r="K314" t="str">
        <f t="shared" si="17"/>
        <v>Young</v>
      </c>
      <c r="L314" t="str">
        <f t="shared" si="18"/>
        <v>Medium</v>
      </c>
      <c r="M314" t="str">
        <f t="shared" si="19"/>
        <v>Medium Risk</v>
      </c>
    </row>
    <row r="315" spans="1:13" x14ac:dyDescent="0.3">
      <c r="A315">
        <v>25</v>
      </c>
      <c r="B315" t="s">
        <v>1010</v>
      </c>
      <c r="C315">
        <v>1</v>
      </c>
      <c r="D315" t="s">
        <v>1016</v>
      </c>
      <c r="E315" t="s">
        <v>1012</v>
      </c>
      <c r="F315" t="s">
        <v>1013</v>
      </c>
      <c r="G315" s="5">
        <v>685</v>
      </c>
      <c r="H315">
        <v>12</v>
      </c>
      <c r="I315" t="s">
        <v>1019</v>
      </c>
      <c r="J315" t="str">
        <f t="shared" si="16"/>
        <v>Low Risk</v>
      </c>
      <c r="K315" t="str">
        <f t="shared" si="17"/>
        <v>Young</v>
      </c>
      <c r="L315" t="str">
        <f t="shared" si="18"/>
        <v>Medium</v>
      </c>
      <c r="M315" t="str">
        <f t="shared" si="19"/>
        <v>Low Risk</v>
      </c>
    </row>
    <row r="316" spans="1:13" x14ac:dyDescent="0.3">
      <c r="A316">
        <v>29</v>
      </c>
      <c r="B316" t="s">
        <v>1010</v>
      </c>
      <c r="C316">
        <v>1</v>
      </c>
      <c r="D316" t="s">
        <v>1016</v>
      </c>
      <c r="E316" t="s">
        <v>1011</v>
      </c>
      <c r="F316" t="s">
        <v>1008</v>
      </c>
      <c r="G316" s="5">
        <v>1494</v>
      </c>
      <c r="H316">
        <v>4</v>
      </c>
      <c r="I316" t="s">
        <v>1019</v>
      </c>
      <c r="J316" t="str">
        <f t="shared" si="16"/>
        <v>Low Risk</v>
      </c>
      <c r="K316" t="str">
        <f t="shared" si="17"/>
        <v>Young</v>
      </c>
      <c r="L316" t="str">
        <f t="shared" si="18"/>
        <v>Short</v>
      </c>
      <c r="M316" t="str">
        <f t="shared" si="19"/>
        <v>Low Risk</v>
      </c>
    </row>
    <row r="317" spans="1:13" x14ac:dyDescent="0.3">
      <c r="A317">
        <v>31</v>
      </c>
      <c r="B317" t="s">
        <v>1010</v>
      </c>
      <c r="C317">
        <v>2</v>
      </c>
      <c r="D317" t="s">
        <v>1016</v>
      </c>
      <c r="E317" t="s">
        <v>1012</v>
      </c>
      <c r="F317" t="s">
        <v>1012</v>
      </c>
      <c r="G317" s="5">
        <v>2746</v>
      </c>
      <c r="H317">
        <v>36</v>
      </c>
      <c r="I317" t="s">
        <v>1022</v>
      </c>
      <c r="J317" t="str">
        <f t="shared" si="16"/>
        <v>Low Risk</v>
      </c>
      <c r="K317" t="str">
        <f t="shared" si="17"/>
        <v>Senior</v>
      </c>
      <c r="L317" t="str">
        <f t="shared" si="18"/>
        <v>Long</v>
      </c>
      <c r="M317" t="str">
        <f t="shared" si="19"/>
        <v>Low Risk</v>
      </c>
    </row>
    <row r="318" spans="1:13" x14ac:dyDescent="0.3">
      <c r="A318">
        <v>38</v>
      </c>
      <c r="B318" t="s">
        <v>1010</v>
      </c>
      <c r="C318">
        <v>1</v>
      </c>
      <c r="D318" t="s">
        <v>1016</v>
      </c>
      <c r="E318" t="s">
        <v>1012</v>
      </c>
      <c r="F318" t="s">
        <v>1012</v>
      </c>
      <c r="G318" s="5">
        <v>708</v>
      </c>
      <c r="H318">
        <v>12</v>
      </c>
      <c r="I318" t="s">
        <v>1022</v>
      </c>
      <c r="J318" t="str">
        <f t="shared" si="16"/>
        <v>Low Risk</v>
      </c>
      <c r="K318" t="str">
        <f t="shared" si="17"/>
        <v>Senior</v>
      </c>
      <c r="L318" t="str">
        <f t="shared" si="18"/>
        <v>Medium</v>
      </c>
      <c r="M318" t="str">
        <f t="shared" si="19"/>
        <v>Low Risk</v>
      </c>
    </row>
    <row r="319" spans="1:13" x14ac:dyDescent="0.3">
      <c r="A319">
        <v>48</v>
      </c>
      <c r="B319" t="s">
        <v>1009</v>
      </c>
      <c r="C319">
        <v>1</v>
      </c>
      <c r="D319" t="s">
        <v>1016</v>
      </c>
      <c r="E319" t="s">
        <v>1011</v>
      </c>
      <c r="F319" t="s">
        <v>1013</v>
      </c>
      <c r="G319" s="5">
        <v>4351</v>
      </c>
      <c r="H319">
        <v>24</v>
      </c>
      <c r="I319" t="s">
        <v>1022</v>
      </c>
      <c r="J319" t="str">
        <f t="shared" si="16"/>
        <v>Low Risk</v>
      </c>
      <c r="K319" t="str">
        <f t="shared" si="17"/>
        <v>Senior</v>
      </c>
      <c r="L319" t="str">
        <f t="shared" si="18"/>
        <v>Medium</v>
      </c>
      <c r="M319" t="str">
        <f t="shared" si="19"/>
        <v>Medium Risk</v>
      </c>
    </row>
    <row r="320" spans="1:13" x14ac:dyDescent="0.3">
      <c r="A320">
        <v>32</v>
      </c>
      <c r="B320" t="s">
        <v>1010</v>
      </c>
      <c r="C320">
        <v>2</v>
      </c>
      <c r="D320" t="s">
        <v>1016</v>
      </c>
      <c r="E320" t="s">
        <v>1012</v>
      </c>
      <c r="F320" t="s">
        <v>1011</v>
      </c>
      <c r="G320" s="5">
        <v>701</v>
      </c>
      <c r="H320">
        <v>12</v>
      </c>
      <c r="I320" t="s">
        <v>1021</v>
      </c>
      <c r="J320" t="str">
        <f t="shared" si="16"/>
        <v>Low Risk</v>
      </c>
      <c r="K320" t="str">
        <f t="shared" si="17"/>
        <v>Senior</v>
      </c>
      <c r="L320" t="str">
        <f t="shared" si="18"/>
        <v>Medium</v>
      </c>
      <c r="M320" t="str">
        <f t="shared" si="19"/>
        <v>Low Risk</v>
      </c>
    </row>
    <row r="321" spans="1:13" x14ac:dyDescent="0.3">
      <c r="A321">
        <v>27</v>
      </c>
      <c r="B321" t="s">
        <v>1009</v>
      </c>
      <c r="C321">
        <v>1</v>
      </c>
      <c r="D321" t="s">
        <v>1016</v>
      </c>
      <c r="E321" t="s">
        <v>1012</v>
      </c>
      <c r="F321" t="s">
        <v>1012</v>
      </c>
      <c r="G321" s="5">
        <v>3643</v>
      </c>
      <c r="H321">
        <v>15</v>
      </c>
      <c r="I321" t="s">
        <v>1022</v>
      </c>
      <c r="J321" t="str">
        <f t="shared" si="16"/>
        <v>Low Risk</v>
      </c>
      <c r="K321" t="str">
        <f t="shared" si="17"/>
        <v>Young</v>
      </c>
      <c r="L321" t="str">
        <f t="shared" si="18"/>
        <v>Medium</v>
      </c>
      <c r="M321" t="str">
        <f t="shared" si="19"/>
        <v>Medium Risk</v>
      </c>
    </row>
    <row r="322" spans="1:13" x14ac:dyDescent="0.3">
      <c r="A322">
        <v>28</v>
      </c>
      <c r="B322" t="s">
        <v>1010</v>
      </c>
      <c r="C322">
        <v>3</v>
      </c>
      <c r="D322" t="s">
        <v>1016</v>
      </c>
      <c r="E322" t="s">
        <v>1012</v>
      </c>
      <c r="F322" t="s">
        <v>1013</v>
      </c>
      <c r="G322" s="5">
        <v>4249</v>
      </c>
      <c r="H322">
        <v>30</v>
      </c>
      <c r="I322" t="s">
        <v>1019</v>
      </c>
      <c r="J322" t="str">
        <f t="shared" si="16"/>
        <v>Medium Risk</v>
      </c>
      <c r="K322" t="str">
        <f t="shared" si="17"/>
        <v>Young</v>
      </c>
      <c r="L322" t="str">
        <f t="shared" si="18"/>
        <v>Medium</v>
      </c>
      <c r="M322" t="str">
        <f t="shared" si="19"/>
        <v>Medium Risk</v>
      </c>
    </row>
    <row r="323" spans="1:13" x14ac:dyDescent="0.3">
      <c r="A323">
        <v>32</v>
      </c>
      <c r="B323" t="s">
        <v>1010</v>
      </c>
      <c r="C323">
        <v>2</v>
      </c>
      <c r="D323" t="s">
        <v>1016</v>
      </c>
      <c r="E323" t="s">
        <v>1012</v>
      </c>
      <c r="F323" t="s">
        <v>1012</v>
      </c>
      <c r="G323" s="5">
        <v>1938</v>
      </c>
      <c r="H323">
        <v>24</v>
      </c>
      <c r="I323" t="s">
        <v>1023</v>
      </c>
      <c r="J323" t="str">
        <f t="shared" ref="J323:J386" si="20">IF(OR(G323&gt;7000,H323&gt;36),"High Risk",
IF(AND(G323&gt;4000,H323&gt;24),"Medium Risk",
"Low Risk"))</f>
        <v>Low Risk</v>
      </c>
      <c r="K323" t="str">
        <f t="shared" ref="K323:K386" si="21">IF(A323&lt;30,"Young",IF(A323&gt;50,"Adult","Senior"))</f>
        <v>Senior</v>
      </c>
      <c r="L323" t="str">
        <f t="shared" ref="L323:L386" si="22">IF(H323&lt;12,"Short",IF(H323&lt;36,"Medium","Long"))</f>
        <v>Medium</v>
      </c>
      <c r="M323" t="str">
        <f t="shared" ref="M323:M386" si="23">IF(G323&lt;3000,"Low Risk",IF(G323&lt;=6000,"Medium Risk","HighRisk"))</f>
        <v>Low Risk</v>
      </c>
    </row>
    <row r="324" spans="1:13" x14ac:dyDescent="0.3">
      <c r="A324">
        <v>34</v>
      </c>
      <c r="B324" t="s">
        <v>1010</v>
      </c>
      <c r="C324">
        <v>3</v>
      </c>
      <c r="D324" t="s">
        <v>1015</v>
      </c>
      <c r="E324" t="s">
        <v>1012</v>
      </c>
      <c r="F324" t="s">
        <v>1012</v>
      </c>
      <c r="G324" s="5">
        <v>2910</v>
      </c>
      <c r="H324">
        <v>24</v>
      </c>
      <c r="I324" t="s">
        <v>1019</v>
      </c>
      <c r="J324" t="str">
        <f t="shared" si="20"/>
        <v>Low Risk</v>
      </c>
      <c r="K324" t="str">
        <f t="shared" si="21"/>
        <v>Senior</v>
      </c>
      <c r="L324" t="str">
        <f t="shared" si="22"/>
        <v>Medium</v>
      </c>
      <c r="M324" t="str">
        <f t="shared" si="23"/>
        <v>Low Risk</v>
      </c>
    </row>
    <row r="325" spans="1:13" x14ac:dyDescent="0.3">
      <c r="A325">
        <v>28</v>
      </c>
      <c r="B325" t="s">
        <v>1010</v>
      </c>
      <c r="C325">
        <v>2</v>
      </c>
      <c r="D325" t="s">
        <v>1016</v>
      </c>
      <c r="E325" t="s">
        <v>1008</v>
      </c>
      <c r="F325" t="s">
        <v>1012</v>
      </c>
      <c r="G325" s="5">
        <v>2659</v>
      </c>
      <c r="H325">
        <v>18</v>
      </c>
      <c r="I325" t="s">
        <v>1022</v>
      </c>
      <c r="J325" t="str">
        <f t="shared" si="20"/>
        <v>Low Risk</v>
      </c>
      <c r="K325" t="str">
        <f t="shared" si="21"/>
        <v>Young</v>
      </c>
      <c r="L325" t="str">
        <f t="shared" si="22"/>
        <v>Medium</v>
      </c>
      <c r="M325" t="str">
        <f t="shared" si="23"/>
        <v>Low Risk</v>
      </c>
    </row>
    <row r="326" spans="1:13" x14ac:dyDescent="0.3">
      <c r="A326">
        <v>36</v>
      </c>
      <c r="B326" t="s">
        <v>1009</v>
      </c>
      <c r="C326">
        <v>2</v>
      </c>
      <c r="D326" t="s">
        <v>1016</v>
      </c>
      <c r="E326" t="s">
        <v>1012</v>
      </c>
      <c r="F326" t="s">
        <v>1011</v>
      </c>
      <c r="G326" s="5">
        <v>1028</v>
      </c>
      <c r="H326">
        <v>18</v>
      </c>
      <c r="I326" t="s">
        <v>1019</v>
      </c>
      <c r="J326" t="str">
        <f t="shared" si="20"/>
        <v>Low Risk</v>
      </c>
      <c r="K326" t="str">
        <f t="shared" si="21"/>
        <v>Senior</v>
      </c>
      <c r="L326" t="str">
        <f t="shared" si="22"/>
        <v>Medium</v>
      </c>
      <c r="M326" t="str">
        <f t="shared" si="23"/>
        <v>Low Risk</v>
      </c>
    </row>
    <row r="327" spans="1:13" x14ac:dyDescent="0.3">
      <c r="A327">
        <v>39</v>
      </c>
      <c r="B327" t="s">
        <v>1010</v>
      </c>
      <c r="C327">
        <v>1</v>
      </c>
      <c r="D327" t="s">
        <v>1016</v>
      </c>
      <c r="E327" t="s">
        <v>1012</v>
      </c>
      <c r="F327" t="s">
        <v>1012</v>
      </c>
      <c r="G327" s="5">
        <v>3398</v>
      </c>
      <c r="H327">
        <v>8</v>
      </c>
      <c r="I327" t="s">
        <v>1019</v>
      </c>
      <c r="J327" t="str">
        <f t="shared" si="20"/>
        <v>Low Risk</v>
      </c>
      <c r="K327" t="str">
        <f t="shared" si="21"/>
        <v>Senior</v>
      </c>
      <c r="L327" t="str">
        <f t="shared" si="22"/>
        <v>Short</v>
      </c>
      <c r="M327" t="str">
        <f t="shared" si="23"/>
        <v>Medium Risk</v>
      </c>
    </row>
    <row r="328" spans="1:13" x14ac:dyDescent="0.3">
      <c r="A328">
        <v>49</v>
      </c>
      <c r="B328" t="s">
        <v>1010</v>
      </c>
      <c r="C328">
        <v>2</v>
      </c>
      <c r="D328" t="s">
        <v>1017</v>
      </c>
      <c r="E328" t="s">
        <v>1011</v>
      </c>
      <c r="F328" t="s">
        <v>1011</v>
      </c>
      <c r="G328" s="5">
        <v>5801</v>
      </c>
      <c r="H328">
        <v>12</v>
      </c>
      <c r="I328" t="s">
        <v>1022</v>
      </c>
      <c r="J328" t="str">
        <f t="shared" si="20"/>
        <v>Low Risk</v>
      </c>
      <c r="K328" t="str">
        <f t="shared" si="21"/>
        <v>Senior</v>
      </c>
      <c r="L328" t="str">
        <f t="shared" si="22"/>
        <v>Medium</v>
      </c>
      <c r="M328" t="str">
        <f t="shared" si="23"/>
        <v>Medium Risk</v>
      </c>
    </row>
    <row r="329" spans="1:13" x14ac:dyDescent="0.3">
      <c r="A329">
        <v>34</v>
      </c>
      <c r="B329" t="s">
        <v>1009</v>
      </c>
      <c r="C329">
        <v>2</v>
      </c>
      <c r="D329" t="s">
        <v>1016</v>
      </c>
      <c r="E329" t="s">
        <v>1008</v>
      </c>
      <c r="F329" t="s">
        <v>1011</v>
      </c>
      <c r="G329" s="5">
        <v>1525</v>
      </c>
      <c r="H329">
        <v>24</v>
      </c>
      <c r="I329" t="s">
        <v>1019</v>
      </c>
      <c r="J329" t="str">
        <f t="shared" si="20"/>
        <v>Low Risk</v>
      </c>
      <c r="K329" t="str">
        <f t="shared" si="21"/>
        <v>Senior</v>
      </c>
      <c r="L329" t="str">
        <f t="shared" si="22"/>
        <v>Medium</v>
      </c>
      <c r="M329" t="str">
        <f t="shared" si="23"/>
        <v>Low Risk</v>
      </c>
    </row>
    <row r="330" spans="1:13" x14ac:dyDescent="0.3">
      <c r="A330">
        <v>31</v>
      </c>
      <c r="B330" t="s">
        <v>1010</v>
      </c>
      <c r="C330">
        <v>2</v>
      </c>
      <c r="D330" t="s">
        <v>1016</v>
      </c>
      <c r="E330" t="s">
        <v>1012</v>
      </c>
      <c r="F330" t="s">
        <v>1008</v>
      </c>
      <c r="G330" s="5">
        <v>4473</v>
      </c>
      <c r="H330">
        <v>36</v>
      </c>
      <c r="I330" t="s">
        <v>1023</v>
      </c>
      <c r="J330" t="str">
        <f t="shared" si="20"/>
        <v>Medium Risk</v>
      </c>
      <c r="K330" t="str">
        <f t="shared" si="21"/>
        <v>Senior</v>
      </c>
      <c r="L330" t="str">
        <f t="shared" si="22"/>
        <v>Long</v>
      </c>
      <c r="M330" t="str">
        <f t="shared" si="23"/>
        <v>Medium Risk</v>
      </c>
    </row>
    <row r="331" spans="1:13" x14ac:dyDescent="0.3">
      <c r="A331">
        <v>28</v>
      </c>
      <c r="B331" t="s">
        <v>1010</v>
      </c>
      <c r="C331">
        <v>2</v>
      </c>
      <c r="D331" t="s">
        <v>1016</v>
      </c>
      <c r="E331" t="s">
        <v>1012</v>
      </c>
      <c r="F331" t="s">
        <v>1013</v>
      </c>
      <c r="G331" s="5">
        <v>1068</v>
      </c>
      <c r="H331">
        <v>6</v>
      </c>
      <c r="I331" t="s">
        <v>1023</v>
      </c>
      <c r="J331" t="str">
        <f t="shared" si="20"/>
        <v>Low Risk</v>
      </c>
      <c r="K331" t="str">
        <f t="shared" si="21"/>
        <v>Young</v>
      </c>
      <c r="L331" t="str">
        <f t="shared" si="22"/>
        <v>Short</v>
      </c>
      <c r="M331" t="str">
        <f t="shared" si="23"/>
        <v>Low Risk</v>
      </c>
    </row>
    <row r="332" spans="1:13" x14ac:dyDescent="0.3">
      <c r="A332">
        <v>75</v>
      </c>
      <c r="B332" t="s">
        <v>1010</v>
      </c>
      <c r="C332">
        <v>3</v>
      </c>
      <c r="D332" t="s">
        <v>1015</v>
      </c>
      <c r="E332" t="s">
        <v>1012</v>
      </c>
      <c r="F332" t="s">
        <v>1012</v>
      </c>
      <c r="G332" s="5">
        <v>6615</v>
      </c>
      <c r="H332">
        <v>24</v>
      </c>
      <c r="I332" t="s">
        <v>1019</v>
      </c>
      <c r="J332" t="str">
        <f t="shared" si="20"/>
        <v>Low Risk</v>
      </c>
      <c r="K332" t="str">
        <f t="shared" si="21"/>
        <v>Adult</v>
      </c>
      <c r="L332" t="str">
        <f t="shared" si="22"/>
        <v>Medium</v>
      </c>
      <c r="M332" t="str">
        <f t="shared" si="23"/>
        <v>HighRisk</v>
      </c>
    </row>
    <row r="333" spans="1:13" x14ac:dyDescent="0.3">
      <c r="A333">
        <v>30</v>
      </c>
      <c r="B333" t="s">
        <v>1009</v>
      </c>
      <c r="C333">
        <v>2</v>
      </c>
      <c r="D333" t="s">
        <v>1016</v>
      </c>
      <c r="E333" t="s">
        <v>1013</v>
      </c>
      <c r="F333" t="s">
        <v>1011</v>
      </c>
      <c r="G333" s="5">
        <v>1864</v>
      </c>
      <c r="H333">
        <v>18</v>
      </c>
      <c r="I333" t="s">
        <v>1021</v>
      </c>
      <c r="J333" t="str">
        <f t="shared" si="20"/>
        <v>Low Risk</v>
      </c>
      <c r="K333" t="str">
        <f t="shared" si="21"/>
        <v>Senior</v>
      </c>
      <c r="L333" t="str">
        <f t="shared" si="22"/>
        <v>Medium</v>
      </c>
      <c r="M333" t="str">
        <f t="shared" si="23"/>
        <v>Low Risk</v>
      </c>
    </row>
    <row r="334" spans="1:13" x14ac:dyDescent="0.3">
      <c r="A334">
        <v>24</v>
      </c>
      <c r="B334" t="s">
        <v>1009</v>
      </c>
      <c r="C334">
        <v>3</v>
      </c>
      <c r="D334" t="s">
        <v>1016</v>
      </c>
      <c r="E334" t="s">
        <v>1013</v>
      </c>
      <c r="F334" t="s">
        <v>1013</v>
      </c>
      <c r="G334" s="5">
        <v>7408</v>
      </c>
      <c r="H334">
        <v>60</v>
      </c>
      <c r="I334" t="s">
        <v>1019</v>
      </c>
      <c r="J334" t="str">
        <f t="shared" si="20"/>
        <v>High Risk</v>
      </c>
      <c r="K334" t="str">
        <f t="shared" si="21"/>
        <v>Young</v>
      </c>
      <c r="L334" t="str">
        <f t="shared" si="22"/>
        <v>Long</v>
      </c>
      <c r="M334" t="str">
        <f t="shared" si="23"/>
        <v>HighRisk</v>
      </c>
    </row>
    <row r="335" spans="1:13" x14ac:dyDescent="0.3">
      <c r="A335">
        <v>24</v>
      </c>
      <c r="B335" t="s">
        <v>1009</v>
      </c>
      <c r="C335">
        <v>1</v>
      </c>
      <c r="D335" t="s">
        <v>1017</v>
      </c>
      <c r="E335" t="s">
        <v>1013</v>
      </c>
      <c r="F335" t="s">
        <v>1011</v>
      </c>
      <c r="G335" s="5">
        <v>11590</v>
      </c>
      <c r="H335">
        <v>48</v>
      </c>
      <c r="I335" t="s">
        <v>1019</v>
      </c>
      <c r="J335" t="str">
        <f t="shared" si="20"/>
        <v>High Risk</v>
      </c>
      <c r="K335" t="str">
        <f t="shared" si="21"/>
        <v>Young</v>
      </c>
      <c r="L335" t="str">
        <f t="shared" si="22"/>
        <v>Long</v>
      </c>
      <c r="M335" t="str">
        <f t="shared" si="23"/>
        <v>HighRisk</v>
      </c>
    </row>
    <row r="336" spans="1:13" x14ac:dyDescent="0.3">
      <c r="A336">
        <v>23</v>
      </c>
      <c r="B336" t="s">
        <v>1010</v>
      </c>
      <c r="C336">
        <v>2</v>
      </c>
      <c r="D336" t="s">
        <v>1017</v>
      </c>
      <c r="E336" t="s">
        <v>1012</v>
      </c>
      <c r="F336" t="s">
        <v>1012</v>
      </c>
      <c r="G336" s="5">
        <v>4110</v>
      </c>
      <c r="H336">
        <v>24</v>
      </c>
      <c r="I336" t="s">
        <v>1022</v>
      </c>
      <c r="J336" t="str">
        <f t="shared" si="20"/>
        <v>Low Risk</v>
      </c>
      <c r="K336" t="str">
        <f t="shared" si="21"/>
        <v>Young</v>
      </c>
      <c r="L336" t="str">
        <f t="shared" si="22"/>
        <v>Medium</v>
      </c>
      <c r="M336" t="str">
        <f t="shared" si="23"/>
        <v>Medium Risk</v>
      </c>
    </row>
    <row r="337" spans="1:13" x14ac:dyDescent="0.3">
      <c r="A337">
        <v>44</v>
      </c>
      <c r="B337" t="s">
        <v>1010</v>
      </c>
      <c r="C337">
        <v>3</v>
      </c>
      <c r="D337" t="s">
        <v>1017</v>
      </c>
      <c r="E337" t="s">
        <v>1012</v>
      </c>
      <c r="F337" t="s">
        <v>1012</v>
      </c>
      <c r="G337" s="5">
        <v>3384</v>
      </c>
      <c r="H337">
        <v>6</v>
      </c>
      <c r="I337" t="s">
        <v>1022</v>
      </c>
      <c r="J337" t="str">
        <f t="shared" si="20"/>
        <v>Low Risk</v>
      </c>
      <c r="K337" t="str">
        <f t="shared" si="21"/>
        <v>Senior</v>
      </c>
      <c r="L337" t="str">
        <f t="shared" si="22"/>
        <v>Short</v>
      </c>
      <c r="M337" t="str">
        <f t="shared" si="23"/>
        <v>Medium Risk</v>
      </c>
    </row>
    <row r="338" spans="1:13" x14ac:dyDescent="0.3">
      <c r="A338">
        <v>23</v>
      </c>
      <c r="B338" t="s">
        <v>1009</v>
      </c>
      <c r="C338">
        <v>1</v>
      </c>
      <c r="D338" t="s">
        <v>1016</v>
      </c>
      <c r="E338" t="s">
        <v>1012</v>
      </c>
      <c r="F338" t="s">
        <v>1013</v>
      </c>
      <c r="G338" s="5">
        <v>2101</v>
      </c>
      <c r="H338">
        <v>13</v>
      </c>
      <c r="I338" t="s">
        <v>1023</v>
      </c>
      <c r="J338" t="str">
        <f t="shared" si="20"/>
        <v>Low Risk</v>
      </c>
      <c r="K338" t="str">
        <f t="shared" si="21"/>
        <v>Young</v>
      </c>
      <c r="L338" t="str">
        <f t="shared" si="22"/>
        <v>Medium</v>
      </c>
      <c r="M338" t="str">
        <f t="shared" si="23"/>
        <v>Low Risk</v>
      </c>
    </row>
    <row r="339" spans="1:13" x14ac:dyDescent="0.3">
      <c r="A339">
        <v>24</v>
      </c>
      <c r="B339" t="s">
        <v>1009</v>
      </c>
      <c r="C339">
        <v>2</v>
      </c>
      <c r="D339" t="s">
        <v>1017</v>
      </c>
      <c r="E339" t="s">
        <v>1011</v>
      </c>
      <c r="F339" t="s">
        <v>1012</v>
      </c>
      <c r="G339" s="5">
        <v>1275</v>
      </c>
      <c r="H339">
        <v>15</v>
      </c>
      <c r="I339" t="s">
        <v>1020</v>
      </c>
      <c r="J339" t="str">
        <f t="shared" si="20"/>
        <v>Low Risk</v>
      </c>
      <c r="K339" t="str">
        <f t="shared" si="21"/>
        <v>Young</v>
      </c>
      <c r="L339" t="str">
        <f t="shared" si="22"/>
        <v>Medium</v>
      </c>
      <c r="M339" t="str">
        <f t="shared" si="23"/>
        <v>Low Risk</v>
      </c>
    </row>
    <row r="340" spans="1:13" x14ac:dyDescent="0.3">
      <c r="A340">
        <v>28</v>
      </c>
      <c r="B340" t="s">
        <v>1010</v>
      </c>
      <c r="C340">
        <v>2</v>
      </c>
      <c r="D340" t="s">
        <v>1016</v>
      </c>
      <c r="E340" t="s">
        <v>1012</v>
      </c>
      <c r="F340" t="s">
        <v>1012</v>
      </c>
      <c r="G340" s="5">
        <v>4169</v>
      </c>
      <c r="H340">
        <v>24</v>
      </c>
      <c r="I340" t="s">
        <v>1022</v>
      </c>
      <c r="J340" t="str">
        <f t="shared" si="20"/>
        <v>Low Risk</v>
      </c>
      <c r="K340" t="str">
        <f t="shared" si="21"/>
        <v>Young</v>
      </c>
      <c r="L340" t="str">
        <f t="shared" si="22"/>
        <v>Medium</v>
      </c>
      <c r="M340" t="str">
        <f t="shared" si="23"/>
        <v>Medium Risk</v>
      </c>
    </row>
    <row r="341" spans="1:13" x14ac:dyDescent="0.3">
      <c r="A341">
        <v>31</v>
      </c>
      <c r="B341" t="s">
        <v>1010</v>
      </c>
      <c r="C341">
        <v>1</v>
      </c>
      <c r="D341" t="s">
        <v>1016</v>
      </c>
      <c r="E341" t="s">
        <v>1012</v>
      </c>
      <c r="F341" t="s">
        <v>1013</v>
      </c>
      <c r="G341" s="5">
        <v>1521</v>
      </c>
      <c r="H341">
        <v>10</v>
      </c>
      <c r="I341" t="s">
        <v>1022</v>
      </c>
      <c r="J341" t="str">
        <f t="shared" si="20"/>
        <v>Low Risk</v>
      </c>
      <c r="K341" t="str">
        <f t="shared" si="21"/>
        <v>Senior</v>
      </c>
      <c r="L341" t="str">
        <f t="shared" si="22"/>
        <v>Short</v>
      </c>
      <c r="M341" t="str">
        <f t="shared" si="23"/>
        <v>Low Risk</v>
      </c>
    </row>
    <row r="342" spans="1:13" x14ac:dyDescent="0.3">
      <c r="A342">
        <v>24</v>
      </c>
      <c r="B342" t="s">
        <v>1009</v>
      </c>
      <c r="C342">
        <v>2</v>
      </c>
      <c r="D342" t="s">
        <v>1015</v>
      </c>
      <c r="E342" t="s">
        <v>1012</v>
      </c>
      <c r="F342" t="s">
        <v>1013</v>
      </c>
      <c r="G342" s="5">
        <v>5743</v>
      </c>
      <c r="H342">
        <v>24</v>
      </c>
      <c r="I342" t="s">
        <v>1021</v>
      </c>
      <c r="J342" t="str">
        <f t="shared" si="20"/>
        <v>Low Risk</v>
      </c>
      <c r="K342" t="str">
        <f t="shared" si="21"/>
        <v>Young</v>
      </c>
      <c r="L342" t="str">
        <f t="shared" si="22"/>
        <v>Medium</v>
      </c>
      <c r="M342" t="str">
        <f t="shared" si="23"/>
        <v>Medium Risk</v>
      </c>
    </row>
    <row r="343" spans="1:13" x14ac:dyDescent="0.3">
      <c r="A343">
        <v>26</v>
      </c>
      <c r="B343" t="s">
        <v>1009</v>
      </c>
      <c r="C343">
        <v>1</v>
      </c>
      <c r="D343" t="s">
        <v>1017</v>
      </c>
      <c r="E343" t="s">
        <v>1012</v>
      </c>
      <c r="F343" t="s">
        <v>1012</v>
      </c>
      <c r="G343" s="5">
        <v>3599</v>
      </c>
      <c r="H343">
        <v>21</v>
      </c>
      <c r="I343" t="s">
        <v>1022</v>
      </c>
      <c r="J343" t="str">
        <f t="shared" si="20"/>
        <v>Low Risk</v>
      </c>
      <c r="K343" t="str">
        <f t="shared" si="21"/>
        <v>Young</v>
      </c>
      <c r="L343" t="str">
        <f t="shared" si="22"/>
        <v>Medium</v>
      </c>
      <c r="M343" t="str">
        <f t="shared" si="23"/>
        <v>Medium Risk</v>
      </c>
    </row>
    <row r="344" spans="1:13" x14ac:dyDescent="0.3">
      <c r="A344">
        <v>25</v>
      </c>
      <c r="B344" t="s">
        <v>1010</v>
      </c>
      <c r="C344">
        <v>2</v>
      </c>
      <c r="D344" t="s">
        <v>1017</v>
      </c>
      <c r="E344" t="s">
        <v>1014</v>
      </c>
      <c r="F344" t="s">
        <v>1013</v>
      </c>
      <c r="G344" s="5">
        <v>3213</v>
      </c>
      <c r="H344">
        <v>18</v>
      </c>
      <c r="I344" t="s">
        <v>1023</v>
      </c>
      <c r="J344" t="str">
        <f t="shared" si="20"/>
        <v>Low Risk</v>
      </c>
      <c r="K344" t="str">
        <f t="shared" si="21"/>
        <v>Young</v>
      </c>
      <c r="L344" t="str">
        <f t="shared" si="22"/>
        <v>Medium</v>
      </c>
      <c r="M344" t="str">
        <f t="shared" si="23"/>
        <v>Medium Risk</v>
      </c>
    </row>
    <row r="345" spans="1:13" x14ac:dyDescent="0.3">
      <c r="A345">
        <v>33</v>
      </c>
      <c r="B345" t="s">
        <v>1010</v>
      </c>
      <c r="C345">
        <v>3</v>
      </c>
      <c r="D345" t="s">
        <v>1016</v>
      </c>
      <c r="E345" t="s">
        <v>1012</v>
      </c>
      <c r="F345" t="s">
        <v>1013</v>
      </c>
      <c r="G345" s="5">
        <v>4439</v>
      </c>
      <c r="H345">
        <v>18</v>
      </c>
      <c r="I345" t="s">
        <v>1018</v>
      </c>
      <c r="J345" t="str">
        <f t="shared" si="20"/>
        <v>Low Risk</v>
      </c>
      <c r="K345" t="str">
        <f t="shared" si="21"/>
        <v>Senior</v>
      </c>
      <c r="L345" t="str">
        <f t="shared" si="22"/>
        <v>Medium</v>
      </c>
      <c r="M345" t="str">
        <f t="shared" si="23"/>
        <v>Medium Risk</v>
      </c>
    </row>
    <row r="346" spans="1:13" x14ac:dyDescent="0.3">
      <c r="A346">
        <v>37</v>
      </c>
      <c r="B346" t="s">
        <v>1010</v>
      </c>
      <c r="C346">
        <v>1</v>
      </c>
      <c r="D346" t="s">
        <v>1016</v>
      </c>
      <c r="E346" t="s">
        <v>1012</v>
      </c>
      <c r="F346" t="s">
        <v>1008</v>
      </c>
      <c r="G346" s="5">
        <v>3949</v>
      </c>
      <c r="H346">
        <v>10</v>
      </c>
      <c r="I346" t="s">
        <v>1019</v>
      </c>
      <c r="J346" t="str">
        <f t="shared" si="20"/>
        <v>Low Risk</v>
      </c>
      <c r="K346" t="str">
        <f t="shared" si="21"/>
        <v>Senior</v>
      </c>
      <c r="L346" t="str">
        <f t="shared" si="22"/>
        <v>Short</v>
      </c>
      <c r="M346" t="str">
        <f t="shared" si="23"/>
        <v>Medium Risk</v>
      </c>
    </row>
    <row r="347" spans="1:13" x14ac:dyDescent="0.3">
      <c r="A347">
        <v>43</v>
      </c>
      <c r="B347" t="s">
        <v>1009</v>
      </c>
      <c r="C347">
        <v>1</v>
      </c>
      <c r="D347" t="s">
        <v>1016</v>
      </c>
      <c r="E347" t="s">
        <v>1012</v>
      </c>
      <c r="F347" t="s">
        <v>1011</v>
      </c>
      <c r="G347" s="5">
        <v>1459</v>
      </c>
      <c r="H347">
        <v>15</v>
      </c>
      <c r="I347" t="s">
        <v>1023</v>
      </c>
      <c r="J347" t="str">
        <f t="shared" si="20"/>
        <v>Low Risk</v>
      </c>
      <c r="K347" t="str">
        <f t="shared" si="21"/>
        <v>Senior</v>
      </c>
      <c r="L347" t="str">
        <f t="shared" si="22"/>
        <v>Medium</v>
      </c>
      <c r="M347" t="str">
        <f t="shared" si="23"/>
        <v>Low Risk</v>
      </c>
    </row>
    <row r="348" spans="1:13" x14ac:dyDescent="0.3">
      <c r="A348">
        <v>23</v>
      </c>
      <c r="B348" t="s">
        <v>1010</v>
      </c>
      <c r="C348">
        <v>2</v>
      </c>
      <c r="D348" t="s">
        <v>1016</v>
      </c>
      <c r="E348" t="s">
        <v>1012</v>
      </c>
      <c r="F348" t="s">
        <v>1013</v>
      </c>
      <c r="G348" s="5">
        <v>882</v>
      </c>
      <c r="H348">
        <v>13</v>
      </c>
      <c r="I348" t="s">
        <v>1023</v>
      </c>
      <c r="J348" t="str">
        <f t="shared" si="20"/>
        <v>Low Risk</v>
      </c>
      <c r="K348" t="str">
        <f t="shared" si="21"/>
        <v>Young</v>
      </c>
      <c r="L348" t="str">
        <f t="shared" si="22"/>
        <v>Medium</v>
      </c>
      <c r="M348" t="str">
        <f t="shared" si="23"/>
        <v>Low Risk</v>
      </c>
    </row>
    <row r="349" spans="1:13" x14ac:dyDescent="0.3">
      <c r="A349">
        <v>23</v>
      </c>
      <c r="B349" t="s">
        <v>1009</v>
      </c>
      <c r="C349">
        <v>0</v>
      </c>
      <c r="D349" t="s">
        <v>1017</v>
      </c>
      <c r="E349" t="s">
        <v>1014</v>
      </c>
      <c r="F349" t="s">
        <v>1013</v>
      </c>
      <c r="G349" s="5">
        <v>3758</v>
      </c>
      <c r="H349">
        <v>24</v>
      </c>
      <c r="I349" t="s">
        <v>1023</v>
      </c>
      <c r="J349" t="str">
        <f t="shared" si="20"/>
        <v>Low Risk</v>
      </c>
      <c r="K349" t="str">
        <f t="shared" si="21"/>
        <v>Young</v>
      </c>
      <c r="L349" t="str">
        <f t="shared" si="22"/>
        <v>Medium</v>
      </c>
      <c r="M349" t="str">
        <f t="shared" si="23"/>
        <v>Medium Risk</v>
      </c>
    </row>
    <row r="350" spans="1:13" x14ac:dyDescent="0.3">
      <c r="A350">
        <v>34</v>
      </c>
      <c r="B350" t="s">
        <v>1010</v>
      </c>
      <c r="C350">
        <v>1</v>
      </c>
      <c r="D350" t="s">
        <v>1016</v>
      </c>
      <c r="E350" t="s">
        <v>1013</v>
      </c>
      <c r="F350" t="s">
        <v>1011</v>
      </c>
      <c r="G350" s="5">
        <v>1743</v>
      </c>
      <c r="H350">
        <v>6</v>
      </c>
      <c r="I350" t="s">
        <v>1018</v>
      </c>
      <c r="J350" t="str">
        <f t="shared" si="20"/>
        <v>Low Risk</v>
      </c>
      <c r="K350" t="str">
        <f t="shared" si="21"/>
        <v>Senior</v>
      </c>
      <c r="L350" t="str">
        <f t="shared" si="22"/>
        <v>Short</v>
      </c>
      <c r="M350" t="str">
        <f t="shared" si="23"/>
        <v>Low Risk</v>
      </c>
    </row>
    <row r="351" spans="1:13" x14ac:dyDescent="0.3">
      <c r="A351">
        <v>32</v>
      </c>
      <c r="B351" t="s">
        <v>1010</v>
      </c>
      <c r="C351">
        <v>2</v>
      </c>
      <c r="D351" t="s">
        <v>1015</v>
      </c>
      <c r="E351" t="s">
        <v>1008</v>
      </c>
      <c r="F351" t="s">
        <v>1013</v>
      </c>
      <c r="G351" s="5">
        <v>1136</v>
      </c>
      <c r="H351">
        <v>9</v>
      </c>
      <c r="I351" t="s">
        <v>1021</v>
      </c>
      <c r="J351" t="str">
        <f t="shared" si="20"/>
        <v>Low Risk</v>
      </c>
      <c r="K351" t="str">
        <f t="shared" si="21"/>
        <v>Senior</v>
      </c>
      <c r="L351" t="str">
        <f t="shared" si="22"/>
        <v>Short</v>
      </c>
      <c r="M351" t="str">
        <f t="shared" si="23"/>
        <v>Low Risk</v>
      </c>
    </row>
    <row r="352" spans="1:13" x14ac:dyDescent="0.3">
      <c r="A352">
        <v>23</v>
      </c>
      <c r="B352" t="s">
        <v>1009</v>
      </c>
      <c r="C352">
        <v>2</v>
      </c>
      <c r="D352" t="s">
        <v>1017</v>
      </c>
      <c r="E352" t="s">
        <v>1012</v>
      </c>
      <c r="F352" t="s">
        <v>1011</v>
      </c>
      <c r="G352" s="5">
        <v>1236</v>
      </c>
      <c r="H352">
        <v>9</v>
      </c>
      <c r="I352" t="s">
        <v>1020</v>
      </c>
      <c r="J352" t="str">
        <f t="shared" si="20"/>
        <v>Low Risk</v>
      </c>
      <c r="K352" t="str">
        <f t="shared" si="21"/>
        <v>Young</v>
      </c>
      <c r="L352" t="str">
        <f t="shared" si="22"/>
        <v>Short</v>
      </c>
      <c r="M352" t="str">
        <f t="shared" si="23"/>
        <v>Low Risk</v>
      </c>
    </row>
    <row r="353" spans="1:13" x14ac:dyDescent="0.3">
      <c r="A353">
        <v>29</v>
      </c>
      <c r="B353" t="s">
        <v>1009</v>
      </c>
      <c r="C353">
        <v>2</v>
      </c>
      <c r="D353" t="s">
        <v>1016</v>
      </c>
      <c r="E353" t="s">
        <v>1012</v>
      </c>
      <c r="F353" t="s">
        <v>1013</v>
      </c>
      <c r="G353" s="5">
        <v>959</v>
      </c>
      <c r="H353">
        <v>9</v>
      </c>
      <c r="I353" t="s">
        <v>1022</v>
      </c>
      <c r="J353" t="str">
        <f t="shared" si="20"/>
        <v>Low Risk</v>
      </c>
      <c r="K353" t="str">
        <f t="shared" si="21"/>
        <v>Young</v>
      </c>
      <c r="L353" t="str">
        <f t="shared" si="22"/>
        <v>Short</v>
      </c>
      <c r="M353" t="str">
        <f t="shared" si="23"/>
        <v>Low Risk</v>
      </c>
    </row>
    <row r="354" spans="1:13" x14ac:dyDescent="0.3">
      <c r="A354">
        <v>38</v>
      </c>
      <c r="B354" t="s">
        <v>1010</v>
      </c>
      <c r="C354">
        <v>3</v>
      </c>
      <c r="D354" t="s">
        <v>1016</v>
      </c>
      <c r="E354" t="s">
        <v>1011</v>
      </c>
      <c r="F354" t="s">
        <v>1011</v>
      </c>
      <c r="G354" s="5">
        <v>3229</v>
      </c>
      <c r="H354">
        <v>18</v>
      </c>
      <c r="I354" t="s">
        <v>1019</v>
      </c>
      <c r="J354" t="str">
        <f t="shared" si="20"/>
        <v>Low Risk</v>
      </c>
      <c r="K354" t="str">
        <f t="shared" si="21"/>
        <v>Senior</v>
      </c>
      <c r="L354" t="str">
        <f t="shared" si="22"/>
        <v>Medium</v>
      </c>
      <c r="M354" t="str">
        <f t="shared" si="23"/>
        <v>Medium Risk</v>
      </c>
    </row>
    <row r="355" spans="1:13" x14ac:dyDescent="0.3">
      <c r="A355">
        <v>28</v>
      </c>
      <c r="B355" t="s">
        <v>1010</v>
      </c>
      <c r="C355">
        <v>2</v>
      </c>
      <c r="D355" t="s">
        <v>1017</v>
      </c>
      <c r="E355" t="s">
        <v>1012</v>
      </c>
      <c r="F355" t="s">
        <v>1012</v>
      </c>
      <c r="G355" s="5">
        <v>6199</v>
      </c>
      <c r="H355">
        <v>12</v>
      </c>
      <c r="I355" t="s">
        <v>1023</v>
      </c>
      <c r="J355" t="str">
        <f t="shared" si="20"/>
        <v>Low Risk</v>
      </c>
      <c r="K355" t="str">
        <f t="shared" si="21"/>
        <v>Young</v>
      </c>
      <c r="L355" t="str">
        <f t="shared" si="22"/>
        <v>Medium</v>
      </c>
      <c r="M355" t="str">
        <f t="shared" si="23"/>
        <v>HighRisk</v>
      </c>
    </row>
    <row r="356" spans="1:13" x14ac:dyDescent="0.3">
      <c r="A356">
        <v>46</v>
      </c>
      <c r="B356" t="s">
        <v>1010</v>
      </c>
      <c r="C356">
        <v>2</v>
      </c>
      <c r="D356" t="s">
        <v>1015</v>
      </c>
      <c r="E356" t="s">
        <v>1014</v>
      </c>
      <c r="F356" t="s">
        <v>1011</v>
      </c>
      <c r="G356" s="5">
        <v>727</v>
      </c>
      <c r="H356">
        <v>10</v>
      </c>
      <c r="I356" t="s">
        <v>1021</v>
      </c>
      <c r="J356" t="str">
        <f t="shared" si="20"/>
        <v>Low Risk</v>
      </c>
      <c r="K356" t="str">
        <f t="shared" si="21"/>
        <v>Senior</v>
      </c>
      <c r="L356" t="str">
        <f t="shared" si="22"/>
        <v>Short</v>
      </c>
      <c r="M356" t="str">
        <f t="shared" si="23"/>
        <v>Low Risk</v>
      </c>
    </row>
    <row r="357" spans="1:13" x14ac:dyDescent="0.3">
      <c r="A357">
        <v>23</v>
      </c>
      <c r="B357" t="s">
        <v>1010</v>
      </c>
      <c r="C357">
        <v>1</v>
      </c>
      <c r="D357" t="s">
        <v>1016</v>
      </c>
      <c r="E357" t="s">
        <v>1012</v>
      </c>
      <c r="F357" t="s">
        <v>1013</v>
      </c>
      <c r="G357" s="5">
        <v>1246</v>
      </c>
      <c r="H357">
        <v>24</v>
      </c>
      <c r="I357" t="s">
        <v>1019</v>
      </c>
      <c r="J357" t="str">
        <f t="shared" si="20"/>
        <v>Low Risk</v>
      </c>
      <c r="K357" t="str">
        <f t="shared" si="21"/>
        <v>Young</v>
      </c>
      <c r="L357" t="str">
        <f t="shared" si="22"/>
        <v>Medium</v>
      </c>
      <c r="M357" t="str">
        <f t="shared" si="23"/>
        <v>Low Risk</v>
      </c>
    </row>
    <row r="358" spans="1:13" x14ac:dyDescent="0.3">
      <c r="A358">
        <v>49</v>
      </c>
      <c r="B358" t="s">
        <v>1010</v>
      </c>
      <c r="C358">
        <v>2</v>
      </c>
      <c r="D358" t="s">
        <v>1016</v>
      </c>
      <c r="E358" t="s">
        <v>1011</v>
      </c>
      <c r="F358" t="s">
        <v>1011</v>
      </c>
      <c r="G358" s="5">
        <v>2331</v>
      </c>
      <c r="H358">
        <v>12</v>
      </c>
      <c r="I358" t="s">
        <v>1023</v>
      </c>
      <c r="J358" t="str">
        <f t="shared" si="20"/>
        <v>Low Risk</v>
      </c>
      <c r="K358" t="str">
        <f t="shared" si="21"/>
        <v>Senior</v>
      </c>
      <c r="L358" t="str">
        <f t="shared" si="22"/>
        <v>Medium</v>
      </c>
      <c r="M358" t="str">
        <f t="shared" si="23"/>
        <v>Low Risk</v>
      </c>
    </row>
    <row r="359" spans="1:13" x14ac:dyDescent="0.3">
      <c r="A359">
        <v>26</v>
      </c>
      <c r="B359" t="s">
        <v>1010</v>
      </c>
      <c r="C359">
        <v>3</v>
      </c>
      <c r="D359" t="s">
        <v>1016</v>
      </c>
      <c r="E359" t="s">
        <v>1012</v>
      </c>
      <c r="F359" t="s">
        <v>1011</v>
      </c>
      <c r="G359" s="5">
        <v>4463</v>
      </c>
      <c r="H359">
        <v>36</v>
      </c>
      <c r="I359" t="s">
        <v>1023</v>
      </c>
      <c r="J359" t="str">
        <f t="shared" si="20"/>
        <v>Medium Risk</v>
      </c>
      <c r="K359" t="str">
        <f t="shared" si="21"/>
        <v>Young</v>
      </c>
      <c r="L359" t="str">
        <f t="shared" si="22"/>
        <v>Long</v>
      </c>
      <c r="M359" t="str">
        <f t="shared" si="23"/>
        <v>Medium Risk</v>
      </c>
    </row>
    <row r="360" spans="1:13" x14ac:dyDescent="0.3">
      <c r="A360">
        <v>28</v>
      </c>
      <c r="B360" t="s">
        <v>1010</v>
      </c>
      <c r="C360">
        <v>2</v>
      </c>
      <c r="D360" t="s">
        <v>1016</v>
      </c>
      <c r="E360" t="s">
        <v>1012</v>
      </c>
      <c r="F360" t="s">
        <v>1011</v>
      </c>
      <c r="G360" s="5">
        <v>776</v>
      </c>
      <c r="H360">
        <v>12</v>
      </c>
      <c r="I360" t="s">
        <v>1023</v>
      </c>
      <c r="J360" t="str">
        <f t="shared" si="20"/>
        <v>Low Risk</v>
      </c>
      <c r="K360" t="str">
        <f t="shared" si="21"/>
        <v>Young</v>
      </c>
      <c r="L360" t="str">
        <f t="shared" si="22"/>
        <v>Medium</v>
      </c>
      <c r="M360" t="str">
        <f t="shared" si="23"/>
        <v>Low Risk</v>
      </c>
    </row>
    <row r="361" spans="1:13" x14ac:dyDescent="0.3">
      <c r="A361">
        <v>23</v>
      </c>
      <c r="B361" t="s">
        <v>1009</v>
      </c>
      <c r="C361">
        <v>2</v>
      </c>
      <c r="D361" t="s">
        <v>1017</v>
      </c>
      <c r="E361" t="s">
        <v>1012</v>
      </c>
      <c r="F361" t="s">
        <v>1012</v>
      </c>
      <c r="G361" s="5">
        <v>2406</v>
      </c>
      <c r="H361">
        <v>30</v>
      </c>
      <c r="I361" t="s">
        <v>1022</v>
      </c>
      <c r="J361" t="str">
        <f t="shared" si="20"/>
        <v>Low Risk</v>
      </c>
      <c r="K361" t="str">
        <f t="shared" si="21"/>
        <v>Young</v>
      </c>
      <c r="L361" t="str">
        <f t="shared" si="22"/>
        <v>Medium</v>
      </c>
      <c r="M361" t="str">
        <f t="shared" si="23"/>
        <v>Low Risk</v>
      </c>
    </row>
    <row r="362" spans="1:13" x14ac:dyDescent="0.3">
      <c r="A362">
        <v>61</v>
      </c>
      <c r="B362" t="s">
        <v>1010</v>
      </c>
      <c r="C362">
        <v>2</v>
      </c>
      <c r="D362" t="s">
        <v>1015</v>
      </c>
      <c r="E362" t="s">
        <v>1011</v>
      </c>
      <c r="F362" t="s">
        <v>1013</v>
      </c>
      <c r="G362" s="5">
        <v>1239</v>
      </c>
      <c r="H362">
        <v>18</v>
      </c>
      <c r="I362" t="s">
        <v>1021</v>
      </c>
      <c r="J362" t="str">
        <f t="shared" si="20"/>
        <v>Low Risk</v>
      </c>
      <c r="K362" t="str">
        <f t="shared" si="21"/>
        <v>Adult</v>
      </c>
      <c r="L362" t="str">
        <f t="shared" si="22"/>
        <v>Medium</v>
      </c>
      <c r="M362" t="str">
        <f t="shared" si="23"/>
        <v>Low Risk</v>
      </c>
    </row>
    <row r="363" spans="1:13" x14ac:dyDescent="0.3">
      <c r="A363">
        <v>37</v>
      </c>
      <c r="B363" t="s">
        <v>1010</v>
      </c>
      <c r="C363">
        <v>3</v>
      </c>
      <c r="D363" t="s">
        <v>1016</v>
      </c>
      <c r="E363" t="s">
        <v>1011</v>
      </c>
      <c r="F363" t="s">
        <v>1008</v>
      </c>
      <c r="G363" s="5">
        <v>3399</v>
      </c>
      <c r="H363">
        <v>12</v>
      </c>
      <c r="I363" t="s">
        <v>1023</v>
      </c>
      <c r="J363" t="str">
        <f t="shared" si="20"/>
        <v>Low Risk</v>
      </c>
      <c r="K363" t="str">
        <f t="shared" si="21"/>
        <v>Senior</v>
      </c>
      <c r="L363" t="str">
        <f t="shared" si="22"/>
        <v>Medium</v>
      </c>
      <c r="M363" t="str">
        <f t="shared" si="23"/>
        <v>Medium Risk</v>
      </c>
    </row>
    <row r="364" spans="1:13" x14ac:dyDescent="0.3">
      <c r="A364">
        <v>36</v>
      </c>
      <c r="B364" t="s">
        <v>1009</v>
      </c>
      <c r="C364">
        <v>2</v>
      </c>
      <c r="D364" t="s">
        <v>1016</v>
      </c>
      <c r="E364" t="s">
        <v>1012</v>
      </c>
      <c r="F364" t="s">
        <v>1008</v>
      </c>
      <c r="G364" s="5">
        <v>2247</v>
      </c>
      <c r="H364">
        <v>12</v>
      </c>
      <c r="I364" t="s">
        <v>1019</v>
      </c>
      <c r="J364" t="str">
        <f t="shared" si="20"/>
        <v>Low Risk</v>
      </c>
      <c r="K364" t="str">
        <f t="shared" si="21"/>
        <v>Senior</v>
      </c>
      <c r="L364" t="str">
        <f t="shared" si="22"/>
        <v>Medium</v>
      </c>
      <c r="M364" t="str">
        <f t="shared" si="23"/>
        <v>Low Risk</v>
      </c>
    </row>
    <row r="365" spans="1:13" x14ac:dyDescent="0.3">
      <c r="A365">
        <v>21</v>
      </c>
      <c r="B365" t="s">
        <v>1010</v>
      </c>
      <c r="C365">
        <v>2</v>
      </c>
      <c r="D365" t="s">
        <v>1017</v>
      </c>
      <c r="E365" t="s">
        <v>1012</v>
      </c>
      <c r="F365" t="s">
        <v>1011</v>
      </c>
      <c r="G365" s="5">
        <v>1766</v>
      </c>
      <c r="H365">
        <v>6</v>
      </c>
      <c r="I365" t="s">
        <v>1022</v>
      </c>
      <c r="J365" t="str">
        <f t="shared" si="20"/>
        <v>Low Risk</v>
      </c>
      <c r="K365" t="str">
        <f t="shared" si="21"/>
        <v>Young</v>
      </c>
      <c r="L365" t="str">
        <f t="shared" si="22"/>
        <v>Short</v>
      </c>
      <c r="M365" t="str">
        <f t="shared" si="23"/>
        <v>Low Risk</v>
      </c>
    </row>
    <row r="366" spans="1:13" x14ac:dyDescent="0.3">
      <c r="A366">
        <v>25</v>
      </c>
      <c r="B366" t="s">
        <v>1010</v>
      </c>
      <c r="C366">
        <v>0</v>
      </c>
      <c r="D366" t="s">
        <v>1016</v>
      </c>
      <c r="E366" t="s">
        <v>1012</v>
      </c>
      <c r="F366" t="s">
        <v>1012</v>
      </c>
      <c r="G366" s="5">
        <v>2473</v>
      </c>
      <c r="H366">
        <v>18</v>
      </c>
      <c r="I366" t="s">
        <v>1022</v>
      </c>
      <c r="J366" t="str">
        <f t="shared" si="20"/>
        <v>Low Risk</v>
      </c>
      <c r="K366" t="str">
        <f t="shared" si="21"/>
        <v>Young</v>
      </c>
      <c r="L366" t="str">
        <f t="shared" si="22"/>
        <v>Medium</v>
      </c>
      <c r="M366" t="str">
        <f t="shared" si="23"/>
        <v>Low Risk</v>
      </c>
    </row>
    <row r="367" spans="1:13" x14ac:dyDescent="0.3">
      <c r="A367">
        <v>36</v>
      </c>
      <c r="B367" t="s">
        <v>1010</v>
      </c>
      <c r="C367">
        <v>2</v>
      </c>
      <c r="D367" t="s">
        <v>1016</v>
      </c>
      <c r="E367" t="s">
        <v>1012</v>
      </c>
      <c r="F367" t="s">
        <v>1011</v>
      </c>
      <c r="G367" s="5">
        <v>1542</v>
      </c>
      <c r="H367">
        <v>12</v>
      </c>
      <c r="I367" t="s">
        <v>1018</v>
      </c>
      <c r="J367" t="str">
        <f t="shared" si="20"/>
        <v>Low Risk</v>
      </c>
      <c r="K367" t="str">
        <f t="shared" si="21"/>
        <v>Senior</v>
      </c>
      <c r="L367" t="str">
        <f t="shared" si="22"/>
        <v>Medium</v>
      </c>
      <c r="M367" t="str">
        <f t="shared" si="23"/>
        <v>Low Risk</v>
      </c>
    </row>
    <row r="368" spans="1:13" x14ac:dyDescent="0.3">
      <c r="A368">
        <v>27</v>
      </c>
      <c r="B368" t="s">
        <v>1010</v>
      </c>
      <c r="C368">
        <v>2</v>
      </c>
      <c r="D368" t="s">
        <v>1016</v>
      </c>
      <c r="E368" t="s">
        <v>1012</v>
      </c>
      <c r="F368" t="s">
        <v>1011</v>
      </c>
      <c r="G368" s="5">
        <v>3850</v>
      </c>
      <c r="H368">
        <v>18</v>
      </c>
      <c r="I368" t="s">
        <v>1019</v>
      </c>
      <c r="J368" t="str">
        <f t="shared" si="20"/>
        <v>Low Risk</v>
      </c>
      <c r="K368" t="str">
        <f t="shared" si="21"/>
        <v>Young</v>
      </c>
      <c r="L368" t="str">
        <f t="shared" si="22"/>
        <v>Medium</v>
      </c>
      <c r="M368" t="str">
        <f t="shared" si="23"/>
        <v>Medium Risk</v>
      </c>
    </row>
    <row r="369" spans="1:13" x14ac:dyDescent="0.3">
      <c r="A369">
        <v>22</v>
      </c>
      <c r="B369" t="s">
        <v>1009</v>
      </c>
      <c r="C369">
        <v>2</v>
      </c>
      <c r="D369" t="s">
        <v>1017</v>
      </c>
      <c r="E369" t="s">
        <v>1012</v>
      </c>
      <c r="F369" t="s">
        <v>1012</v>
      </c>
      <c r="G369" s="5">
        <v>3650</v>
      </c>
      <c r="H369">
        <v>18</v>
      </c>
      <c r="I369" t="s">
        <v>1022</v>
      </c>
      <c r="J369" t="str">
        <f t="shared" si="20"/>
        <v>Low Risk</v>
      </c>
      <c r="K369" t="str">
        <f t="shared" si="21"/>
        <v>Young</v>
      </c>
      <c r="L369" t="str">
        <f t="shared" si="22"/>
        <v>Medium</v>
      </c>
      <c r="M369" t="str">
        <f t="shared" si="23"/>
        <v>Medium Risk</v>
      </c>
    </row>
    <row r="370" spans="1:13" x14ac:dyDescent="0.3">
      <c r="A370">
        <v>42</v>
      </c>
      <c r="B370" t="s">
        <v>1010</v>
      </c>
      <c r="C370">
        <v>2</v>
      </c>
      <c r="D370" t="s">
        <v>1016</v>
      </c>
      <c r="E370" t="s">
        <v>1012</v>
      </c>
      <c r="F370" t="s">
        <v>1012</v>
      </c>
      <c r="G370" s="5">
        <v>3446</v>
      </c>
      <c r="H370">
        <v>36</v>
      </c>
      <c r="I370" t="s">
        <v>1022</v>
      </c>
      <c r="J370" t="str">
        <f t="shared" si="20"/>
        <v>Low Risk</v>
      </c>
      <c r="K370" t="str">
        <f t="shared" si="21"/>
        <v>Senior</v>
      </c>
      <c r="L370" t="str">
        <f t="shared" si="22"/>
        <v>Long</v>
      </c>
      <c r="M370" t="str">
        <f t="shared" si="23"/>
        <v>Medium Risk</v>
      </c>
    </row>
    <row r="371" spans="1:13" x14ac:dyDescent="0.3">
      <c r="A371">
        <v>40</v>
      </c>
      <c r="B371" t="s">
        <v>1009</v>
      </c>
      <c r="C371">
        <v>2</v>
      </c>
      <c r="D371" t="s">
        <v>1017</v>
      </c>
      <c r="E371" t="s">
        <v>1012</v>
      </c>
      <c r="F371" t="s">
        <v>1013</v>
      </c>
      <c r="G371" s="5">
        <v>3001</v>
      </c>
      <c r="H371">
        <v>18</v>
      </c>
      <c r="I371" t="s">
        <v>1022</v>
      </c>
      <c r="J371" t="str">
        <f t="shared" si="20"/>
        <v>Low Risk</v>
      </c>
      <c r="K371" t="str">
        <f t="shared" si="21"/>
        <v>Senior</v>
      </c>
      <c r="L371" t="str">
        <f t="shared" si="22"/>
        <v>Medium</v>
      </c>
      <c r="M371" t="str">
        <f t="shared" si="23"/>
        <v>Medium Risk</v>
      </c>
    </row>
    <row r="372" spans="1:13" x14ac:dyDescent="0.3">
      <c r="A372">
        <v>36</v>
      </c>
      <c r="B372" t="s">
        <v>1010</v>
      </c>
      <c r="C372">
        <v>2</v>
      </c>
      <c r="D372" t="s">
        <v>1016</v>
      </c>
      <c r="E372" t="s">
        <v>1011</v>
      </c>
      <c r="F372" t="s">
        <v>1011</v>
      </c>
      <c r="G372" s="5">
        <v>3079</v>
      </c>
      <c r="H372">
        <v>36</v>
      </c>
      <c r="I372" t="s">
        <v>1019</v>
      </c>
      <c r="J372" t="str">
        <f t="shared" si="20"/>
        <v>Low Risk</v>
      </c>
      <c r="K372" t="str">
        <f t="shared" si="21"/>
        <v>Senior</v>
      </c>
      <c r="L372" t="str">
        <f t="shared" si="22"/>
        <v>Long</v>
      </c>
      <c r="M372" t="str">
        <f t="shared" si="23"/>
        <v>Medium Risk</v>
      </c>
    </row>
    <row r="373" spans="1:13" x14ac:dyDescent="0.3">
      <c r="A373">
        <v>33</v>
      </c>
      <c r="B373" t="s">
        <v>1010</v>
      </c>
      <c r="C373">
        <v>2</v>
      </c>
      <c r="D373" t="s">
        <v>1016</v>
      </c>
      <c r="E373" t="s">
        <v>1012</v>
      </c>
      <c r="F373" t="s">
        <v>1011</v>
      </c>
      <c r="G373" s="5">
        <v>6070</v>
      </c>
      <c r="H373">
        <v>18</v>
      </c>
      <c r="I373" t="s">
        <v>1023</v>
      </c>
      <c r="J373" t="str">
        <f t="shared" si="20"/>
        <v>Low Risk</v>
      </c>
      <c r="K373" t="str">
        <f t="shared" si="21"/>
        <v>Senior</v>
      </c>
      <c r="L373" t="str">
        <f t="shared" si="22"/>
        <v>Medium</v>
      </c>
      <c r="M373" t="str">
        <f t="shared" si="23"/>
        <v>HighRisk</v>
      </c>
    </row>
    <row r="374" spans="1:13" x14ac:dyDescent="0.3">
      <c r="A374">
        <v>23</v>
      </c>
      <c r="B374" t="s">
        <v>1009</v>
      </c>
      <c r="C374">
        <v>2</v>
      </c>
      <c r="D374" t="s">
        <v>1017</v>
      </c>
      <c r="E374" t="s">
        <v>1012</v>
      </c>
      <c r="F374" t="s">
        <v>1011</v>
      </c>
      <c r="G374" s="5">
        <v>2146</v>
      </c>
      <c r="H374">
        <v>10</v>
      </c>
      <c r="I374" t="s">
        <v>1022</v>
      </c>
      <c r="J374" t="str">
        <f t="shared" si="20"/>
        <v>Low Risk</v>
      </c>
      <c r="K374" t="str">
        <f t="shared" si="21"/>
        <v>Young</v>
      </c>
      <c r="L374" t="str">
        <f t="shared" si="22"/>
        <v>Short</v>
      </c>
      <c r="M374" t="str">
        <f t="shared" si="23"/>
        <v>Low Risk</v>
      </c>
    </row>
    <row r="375" spans="1:13" x14ac:dyDescent="0.3">
      <c r="A375">
        <v>63</v>
      </c>
      <c r="B375" t="s">
        <v>1010</v>
      </c>
      <c r="C375">
        <v>3</v>
      </c>
      <c r="D375" t="s">
        <v>1015</v>
      </c>
      <c r="E375" t="s">
        <v>1011</v>
      </c>
      <c r="F375" t="s">
        <v>1011</v>
      </c>
      <c r="G375" s="5">
        <v>13756</v>
      </c>
      <c r="H375">
        <v>60</v>
      </c>
      <c r="I375" t="s">
        <v>1019</v>
      </c>
      <c r="J375" t="str">
        <f t="shared" si="20"/>
        <v>High Risk</v>
      </c>
      <c r="K375" t="str">
        <f t="shared" si="21"/>
        <v>Adult</v>
      </c>
      <c r="L375" t="str">
        <f t="shared" si="22"/>
        <v>Long</v>
      </c>
      <c r="M375" t="str">
        <f t="shared" si="23"/>
        <v>HighRisk</v>
      </c>
    </row>
    <row r="376" spans="1:13" x14ac:dyDescent="0.3">
      <c r="A376">
        <v>60</v>
      </c>
      <c r="B376" t="s">
        <v>1009</v>
      </c>
      <c r="C376">
        <v>3</v>
      </c>
      <c r="D376" t="s">
        <v>1015</v>
      </c>
      <c r="E376" t="s">
        <v>1013</v>
      </c>
      <c r="F376" t="s">
        <v>1013</v>
      </c>
      <c r="G376" s="5">
        <v>14782</v>
      </c>
      <c r="H376">
        <v>60</v>
      </c>
      <c r="I376" t="s">
        <v>1025</v>
      </c>
      <c r="J376" t="str">
        <f t="shared" si="20"/>
        <v>High Risk</v>
      </c>
      <c r="K376" t="str">
        <f t="shared" si="21"/>
        <v>Adult</v>
      </c>
      <c r="L376" t="str">
        <f t="shared" si="22"/>
        <v>Long</v>
      </c>
      <c r="M376" t="str">
        <f t="shared" si="23"/>
        <v>HighRisk</v>
      </c>
    </row>
    <row r="377" spans="1:13" x14ac:dyDescent="0.3">
      <c r="A377">
        <v>37</v>
      </c>
      <c r="B377" t="s">
        <v>1009</v>
      </c>
      <c r="C377">
        <v>2</v>
      </c>
      <c r="D377" t="s">
        <v>1017</v>
      </c>
      <c r="E377" t="s">
        <v>1012</v>
      </c>
      <c r="F377" t="s">
        <v>1012</v>
      </c>
      <c r="G377" s="5">
        <v>7685</v>
      </c>
      <c r="H377">
        <v>48</v>
      </c>
      <c r="I377" t="s">
        <v>1018</v>
      </c>
      <c r="J377" t="str">
        <f t="shared" si="20"/>
        <v>High Risk</v>
      </c>
      <c r="K377" t="str">
        <f t="shared" si="21"/>
        <v>Senior</v>
      </c>
      <c r="L377" t="str">
        <f t="shared" si="22"/>
        <v>Long</v>
      </c>
      <c r="M377" t="str">
        <f t="shared" si="23"/>
        <v>HighRisk</v>
      </c>
    </row>
    <row r="378" spans="1:13" x14ac:dyDescent="0.3">
      <c r="A378">
        <v>34</v>
      </c>
      <c r="B378" t="s">
        <v>1010</v>
      </c>
      <c r="C378">
        <v>2</v>
      </c>
      <c r="D378" t="s">
        <v>1016</v>
      </c>
      <c r="E378" t="s">
        <v>1012</v>
      </c>
      <c r="F378" t="s">
        <v>1011</v>
      </c>
      <c r="G378" s="5">
        <v>2320</v>
      </c>
      <c r="H378">
        <v>18</v>
      </c>
      <c r="I378" t="s">
        <v>1023</v>
      </c>
      <c r="J378" t="str">
        <f t="shared" si="20"/>
        <v>Low Risk</v>
      </c>
      <c r="K378" t="str">
        <f t="shared" si="21"/>
        <v>Senior</v>
      </c>
      <c r="L378" t="str">
        <f t="shared" si="22"/>
        <v>Medium</v>
      </c>
      <c r="M378" t="str">
        <f t="shared" si="23"/>
        <v>Low Risk</v>
      </c>
    </row>
    <row r="379" spans="1:13" x14ac:dyDescent="0.3">
      <c r="A379">
        <v>36</v>
      </c>
      <c r="B379" t="s">
        <v>1010</v>
      </c>
      <c r="C379">
        <v>2</v>
      </c>
      <c r="D379" t="s">
        <v>1015</v>
      </c>
      <c r="E379" t="s">
        <v>1011</v>
      </c>
      <c r="F379" t="s">
        <v>1011</v>
      </c>
      <c r="G379" s="5">
        <v>846</v>
      </c>
      <c r="H379">
        <v>7</v>
      </c>
      <c r="I379" t="s">
        <v>1023</v>
      </c>
      <c r="J379" t="str">
        <f t="shared" si="20"/>
        <v>Low Risk</v>
      </c>
      <c r="K379" t="str">
        <f t="shared" si="21"/>
        <v>Senior</v>
      </c>
      <c r="L379" t="str">
        <f t="shared" si="22"/>
        <v>Short</v>
      </c>
      <c r="M379" t="str">
        <f t="shared" si="23"/>
        <v>Low Risk</v>
      </c>
    </row>
    <row r="380" spans="1:13" x14ac:dyDescent="0.3">
      <c r="A380">
        <v>57</v>
      </c>
      <c r="B380" t="s">
        <v>1010</v>
      </c>
      <c r="C380">
        <v>3</v>
      </c>
      <c r="D380" t="s">
        <v>1015</v>
      </c>
      <c r="E380" t="s">
        <v>1012</v>
      </c>
      <c r="F380" t="s">
        <v>1013</v>
      </c>
      <c r="G380" s="5">
        <v>14318</v>
      </c>
      <c r="H380">
        <v>36</v>
      </c>
      <c r="I380" t="s">
        <v>1019</v>
      </c>
      <c r="J380" t="str">
        <f t="shared" si="20"/>
        <v>High Risk</v>
      </c>
      <c r="K380" t="str">
        <f t="shared" si="21"/>
        <v>Adult</v>
      </c>
      <c r="L380" t="str">
        <f t="shared" si="22"/>
        <v>Long</v>
      </c>
      <c r="M380" t="str">
        <f t="shared" si="23"/>
        <v>HighRisk</v>
      </c>
    </row>
    <row r="381" spans="1:13" x14ac:dyDescent="0.3">
      <c r="A381">
        <v>52</v>
      </c>
      <c r="B381" t="s">
        <v>1009</v>
      </c>
      <c r="C381">
        <v>1</v>
      </c>
      <c r="D381" t="s">
        <v>1016</v>
      </c>
      <c r="E381" t="s">
        <v>1013</v>
      </c>
      <c r="F381" t="s">
        <v>1011</v>
      </c>
      <c r="G381" s="5">
        <v>362</v>
      </c>
      <c r="H381">
        <v>6</v>
      </c>
      <c r="I381" t="s">
        <v>1019</v>
      </c>
      <c r="J381" t="str">
        <f t="shared" si="20"/>
        <v>Low Risk</v>
      </c>
      <c r="K381" t="str">
        <f t="shared" si="21"/>
        <v>Adult</v>
      </c>
      <c r="L381" t="str">
        <f t="shared" si="22"/>
        <v>Short</v>
      </c>
      <c r="M381" t="str">
        <f t="shared" si="23"/>
        <v>Low Risk</v>
      </c>
    </row>
    <row r="382" spans="1:13" x14ac:dyDescent="0.3">
      <c r="A382">
        <v>39</v>
      </c>
      <c r="B382" t="s">
        <v>1010</v>
      </c>
      <c r="C382">
        <v>2</v>
      </c>
      <c r="D382" t="s">
        <v>1016</v>
      </c>
      <c r="E382" t="s">
        <v>1011</v>
      </c>
      <c r="F382" t="s">
        <v>1012</v>
      </c>
      <c r="G382" s="5">
        <v>2212</v>
      </c>
      <c r="H382">
        <v>20</v>
      </c>
      <c r="I382" t="s">
        <v>1022</v>
      </c>
      <c r="J382" t="str">
        <f t="shared" si="20"/>
        <v>Low Risk</v>
      </c>
      <c r="K382" t="str">
        <f t="shared" si="21"/>
        <v>Senior</v>
      </c>
      <c r="L382" t="str">
        <f t="shared" si="22"/>
        <v>Medium</v>
      </c>
      <c r="M382" t="str">
        <f t="shared" si="23"/>
        <v>Low Risk</v>
      </c>
    </row>
    <row r="383" spans="1:13" x14ac:dyDescent="0.3">
      <c r="A383">
        <v>38</v>
      </c>
      <c r="B383" t="s">
        <v>1009</v>
      </c>
      <c r="C383">
        <v>3</v>
      </c>
      <c r="D383" t="s">
        <v>1015</v>
      </c>
      <c r="E383" t="s">
        <v>1012</v>
      </c>
      <c r="F383" t="s">
        <v>1013</v>
      </c>
      <c r="G383" s="5">
        <v>12976</v>
      </c>
      <c r="H383">
        <v>18</v>
      </c>
      <c r="I383" t="s">
        <v>1019</v>
      </c>
      <c r="J383" t="str">
        <f t="shared" si="20"/>
        <v>High Risk</v>
      </c>
      <c r="K383" t="str">
        <f t="shared" si="21"/>
        <v>Senior</v>
      </c>
      <c r="L383" t="str">
        <f t="shared" si="22"/>
        <v>Medium</v>
      </c>
      <c r="M383" t="str">
        <f t="shared" si="23"/>
        <v>HighRisk</v>
      </c>
    </row>
    <row r="384" spans="1:13" x14ac:dyDescent="0.3">
      <c r="A384">
        <v>25</v>
      </c>
      <c r="B384" t="s">
        <v>1009</v>
      </c>
      <c r="C384">
        <v>2</v>
      </c>
      <c r="D384" t="s">
        <v>1017</v>
      </c>
      <c r="E384" t="s">
        <v>1011</v>
      </c>
      <c r="F384" t="s">
        <v>1011</v>
      </c>
      <c r="G384" s="5">
        <v>1283</v>
      </c>
      <c r="H384">
        <v>22</v>
      </c>
      <c r="I384" t="s">
        <v>1019</v>
      </c>
      <c r="J384" t="str">
        <f t="shared" si="20"/>
        <v>Low Risk</v>
      </c>
      <c r="K384" t="str">
        <f t="shared" si="21"/>
        <v>Young</v>
      </c>
      <c r="L384" t="str">
        <f t="shared" si="22"/>
        <v>Medium</v>
      </c>
      <c r="M384" t="str">
        <f t="shared" si="23"/>
        <v>Low Risk</v>
      </c>
    </row>
    <row r="385" spans="1:13" x14ac:dyDescent="0.3">
      <c r="A385">
        <v>26</v>
      </c>
      <c r="B385" t="s">
        <v>1010</v>
      </c>
      <c r="C385">
        <v>2</v>
      </c>
      <c r="D385" t="s">
        <v>1016</v>
      </c>
      <c r="E385" t="s">
        <v>1012</v>
      </c>
      <c r="F385" t="s">
        <v>1008</v>
      </c>
      <c r="G385" s="5">
        <v>1330</v>
      </c>
      <c r="H385">
        <v>12</v>
      </c>
      <c r="I385" t="s">
        <v>1019</v>
      </c>
      <c r="J385" t="str">
        <f t="shared" si="20"/>
        <v>Low Risk</v>
      </c>
      <c r="K385" t="str">
        <f t="shared" si="21"/>
        <v>Young</v>
      </c>
      <c r="L385" t="str">
        <f t="shared" si="22"/>
        <v>Medium</v>
      </c>
      <c r="M385" t="str">
        <f t="shared" si="23"/>
        <v>Low Risk</v>
      </c>
    </row>
    <row r="386" spans="1:13" x14ac:dyDescent="0.3">
      <c r="A386">
        <v>26</v>
      </c>
      <c r="B386" t="s">
        <v>1010</v>
      </c>
      <c r="C386">
        <v>1</v>
      </c>
      <c r="D386" t="s">
        <v>1016</v>
      </c>
      <c r="E386" t="s">
        <v>1013</v>
      </c>
      <c r="F386" t="s">
        <v>1011</v>
      </c>
      <c r="G386" s="5">
        <v>4272</v>
      </c>
      <c r="H386">
        <v>30</v>
      </c>
      <c r="I386" t="s">
        <v>1018</v>
      </c>
      <c r="J386" t="str">
        <f t="shared" si="20"/>
        <v>Medium Risk</v>
      </c>
      <c r="K386" t="str">
        <f t="shared" si="21"/>
        <v>Young</v>
      </c>
      <c r="L386" t="str">
        <f t="shared" si="22"/>
        <v>Medium</v>
      </c>
      <c r="M386" t="str">
        <f t="shared" si="23"/>
        <v>Medium Risk</v>
      </c>
    </row>
    <row r="387" spans="1:13" x14ac:dyDescent="0.3">
      <c r="A387">
        <v>25</v>
      </c>
      <c r="B387" t="s">
        <v>1009</v>
      </c>
      <c r="C387">
        <v>2</v>
      </c>
      <c r="D387" t="s">
        <v>1016</v>
      </c>
      <c r="E387" t="s">
        <v>1012</v>
      </c>
      <c r="F387" t="s">
        <v>1011</v>
      </c>
      <c r="G387" s="5">
        <v>2238</v>
      </c>
      <c r="H387">
        <v>18</v>
      </c>
      <c r="I387" t="s">
        <v>1023</v>
      </c>
      <c r="J387" t="str">
        <f t="shared" ref="J387:J450" si="24">IF(OR(G387&gt;7000,H387&gt;36),"High Risk",
IF(AND(G387&gt;4000,H387&gt;24),"Medium Risk",
"Low Risk"))</f>
        <v>Low Risk</v>
      </c>
      <c r="K387" t="str">
        <f t="shared" ref="K387:K450" si="25">IF(A387&lt;30,"Young",IF(A387&gt;50,"Adult","Senior"))</f>
        <v>Young</v>
      </c>
      <c r="L387" t="str">
        <f t="shared" ref="L387:L450" si="26">IF(H387&lt;12,"Short",IF(H387&lt;36,"Medium","Long"))</f>
        <v>Medium</v>
      </c>
      <c r="M387" t="str">
        <f t="shared" ref="M387:M450" si="27">IF(G387&lt;3000,"Low Risk",IF(G387&lt;=6000,"Medium Risk","HighRisk"))</f>
        <v>Low Risk</v>
      </c>
    </row>
    <row r="388" spans="1:13" x14ac:dyDescent="0.3">
      <c r="A388">
        <v>21</v>
      </c>
      <c r="B388" t="s">
        <v>1009</v>
      </c>
      <c r="C388">
        <v>2</v>
      </c>
      <c r="D388" t="s">
        <v>1017</v>
      </c>
      <c r="E388" t="s">
        <v>1011</v>
      </c>
      <c r="F388" t="s">
        <v>1011</v>
      </c>
      <c r="G388" s="5">
        <v>1126</v>
      </c>
      <c r="H388">
        <v>18</v>
      </c>
      <c r="I388" t="s">
        <v>1023</v>
      </c>
      <c r="J388" t="str">
        <f t="shared" si="24"/>
        <v>Low Risk</v>
      </c>
      <c r="K388" t="str">
        <f t="shared" si="25"/>
        <v>Young</v>
      </c>
      <c r="L388" t="str">
        <f t="shared" si="26"/>
        <v>Medium</v>
      </c>
      <c r="M388" t="str">
        <f t="shared" si="27"/>
        <v>Low Risk</v>
      </c>
    </row>
    <row r="389" spans="1:13" x14ac:dyDescent="0.3">
      <c r="A389">
        <v>40</v>
      </c>
      <c r="B389" t="s">
        <v>1010</v>
      </c>
      <c r="C389">
        <v>3</v>
      </c>
      <c r="D389" t="s">
        <v>1016</v>
      </c>
      <c r="E389" t="s">
        <v>1012</v>
      </c>
      <c r="F389" t="s">
        <v>1013</v>
      </c>
      <c r="G389" s="5">
        <v>7374</v>
      </c>
      <c r="H389">
        <v>18</v>
      </c>
      <c r="I389" t="s">
        <v>1022</v>
      </c>
      <c r="J389" t="str">
        <f t="shared" si="24"/>
        <v>High Risk</v>
      </c>
      <c r="K389" t="str">
        <f t="shared" si="25"/>
        <v>Senior</v>
      </c>
      <c r="L389" t="str">
        <f t="shared" si="26"/>
        <v>Medium</v>
      </c>
      <c r="M389" t="str">
        <f t="shared" si="27"/>
        <v>HighRisk</v>
      </c>
    </row>
    <row r="390" spans="1:13" x14ac:dyDescent="0.3">
      <c r="A390">
        <v>27</v>
      </c>
      <c r="B390" t="s">
        <v>1010</v>
      </c>
      <c r="C390">
        <v>2</v>
      </c>
      <c r="D390" t="s">
        <v>1016</v>
      </c>
      <c r="E390" t="s">
        <v>1014</v>
      </c>
      <c r="F390" t="s">
        <v>1013</v>
      </c>
      <c r="G390" s="5">
        <v>2326</v>
      </c>
      <c r="H390">
        <v>15</v>
      </c>
      <c r="I390" t="s">
        <v>1018</v>
      </c>
      <c r="J390" t="str">
        <f t="shared" si="24"/>
        <v>Low Risk</v>
      </c>
      <c r="K390" t="str">
        <f t="shared" si="25"/>
        <v>Young</v>
      </c>
      <c r="L390" t="str">
        <f t="shared" si="26"/>
        <v>Medium</v>
      </c>
      <c r="M390" t="str">
        <f t="shared" si="27"/>
        <v>Low Risk</v>
      </c>
    </row>
    <row r="391" spans="1:13" x14ac:dyDescent="0.3">
      <c r="A391">
        <v>27</v>
      </c>
      <c r="B391" t="s">
        <v>1009</v>
      </c>
      <c r="C391">
        <v>2</v>
      </c>
      <c r="D391" t="s">
        <v>1016</v>
      </c>
      <c r="E391" t="s">
        <v>1012</v>
      </c>
      <c r="F391" t="s">
        <v>1011</v>
      </c>
      <c r="G391" s="5">
        <v>1449</v>
      </c>
      <c r="H391">
        <v>9</v>
      </c>
      <c r="I391" t="s">
        <v>1018</v>
      </c>
      <c r="J391" t="str">
        <f t="shared" si="24"/>
        <v>Low Risk</v>
      </c>
      <c r="K391" t="str">
        <f t="shared" si="25"/>
        <v>Young</v>
      </c>
      <c r="L391" t="str">
        <f t="shared" si="26"/>
        <v>Short</v>
      </c>
      <c r="M391" t="str">
        <f t="shared" si="27"/>
        <v>Low Risk</v>
      </c>
    </row>
    <row r="392" spans="1:13" x14ac:dyDescent="0.3">
      <c r="A392">
        <v>30</v>
      </c>
      <c r="B392" t="s">
        <v>1010</v>
      </c>
      <c r="C392">
        <v>3</v>
      </c>
      <c r="D392" t="s">
        <v>1016</v>
      </c>
      <c r="E392" t="s">
        <v>1012</v>
      </c>
      <c r="F392" t="s">
        <v>1011</v>
      </c>
      <c r="G392" s="5">
        <v>1820</v>
      </c>
      <c r="H392">
        <v>18</v>
      </c>
      <c r="I392" t="s">
        <v>1019</v>
      </c>
      <c r="J392" t="str">
        <f t="shared" si="24"/>
        <v>Low Risk</v>
      </c>
      <c r="K392" t="str">
        <f t="shared" si="25"/>
        <v>Senior</v>
      </c>
      <c r="L392" t="str">
        <f t="shared" si="26"/>
        <v>Medium</v>
      </c>
      <c r="M392" t="str">
        <f t="shared" si="27"/>
        <v>Low Risk</v>
      </c>
    </row>
    <row r="393" spans="1:13" x14ac:dyDescent="0.3">
      <c r="A393">
        <v>19</v>
      </c>
      <c r="B393" t="s">
        <v>1009</v>
      </c>
      <c r="C393">
        <v>1</v>
      </c>
      <c r="D393" t="s">
        <v>1017</v>
      </c>
      <c r="E393" t="s">
        <v>1008</v>
      </c>
      <c r="F393" t="s">
        <v>1013</v>
      </c>
      <c r="G393" s="5">
        <v>983</v>
      </c>
      <c r="H393">
        <v>12</v>
      </c>
      <c r="I393" t="s">
        <v>1022</v>
      </c>
      <c r="J393" t="str">
        <f t="shared" si="24"/>
        <v>Low Risk</v>
      </c>
      <c r="K393" t="str">
        <f t="shared" si="25"/>
        <v>Young</v>
      </c>
      <c r="L393" t="str">
        <f t="shared" si="26"/>
        <v>Medium</v>
      </c>
      <c r="M393" t="str">
        <f t="shared" si="27"/>
        <v>Low Risk</v>
      </c>
    </row>
    <row r="394" spans="1:13" x14ac:dyDescent="0.3">
      <c r="A394">
        <v>39</v>
      </c>
      <c r="B394" t="s">
        <v>1010</v>
      </c>
      <c r="C394">
        <v>3</v>
      </c>
      <c r="D394" t="s">
        <v>1015</v>
      </c>
      <c r="E394" t="s">
        <v>1012</v>
      </c>
      <c r="F394" t="s">
        <v>1012</v>
      </c>
      <c r="G394" s="5">
        <v>3249</v>
      </c>
      <c r="H394">
        <v>36</v>
      </c>
      <c r="I394" t="s">
        <v>1019</v>
      </c>
      <c r="J394" t="str">
        <f t="shared" si="24"/>
        <v>Low Risk</v>
      </c>
      <c r="K394" t="str">
        <f t="shared" si="25"/>
        <v>Senior</v>
      </c>
      <c r="L394" t="str">
        <f t="shared" si="26"/>
        <v>Long</v>
      </c>
      <c r="M394" t="str">
        <f t="shared" si="27"/>
        <v>Medium Risk</v>
      </c>
    </row>
    <row r="395" spans="1:13" x14ac:dyDescent="0.3">
      <c r="A395">
        <v>31</v>
      </c>
      <c r="B395" t="s">
        <v>1009</v>
      </c>
      <c r="C395">
        <v>2</v>
      </c>
      <c r="D395" t="s">
        <v>1016</v>
      </c>
      <c r="E395" t="s">
        <v>1012</v>
      </c>
      <c r="F395" t="s">
        <v>1012</v>
      </c>
      <c r="G395" s="5">
        <v>1957</v>
      </c>
      <c r="H395">
        <v>6</v>
      </c>
      <c r="I395" t="s">
        <v>1023</v>
      </c>
      <c r="J395" t="str">
        <f t="shared" si="24"/>
        <v>Low Risk</v>
      </c>
      <c r="K395" t="str">
        <f t="shared" si="25"/>
        <v>Senior</v>
      </c>
      <c r="L395" t="str">
        <f t="shared" si="26"/>
        <v>Short</v>
      </c>
      <c r="M395" t="str">
        <f t="shared" si="27"/>
        <v>Low Risk</v>
      </c>
    </row>
    <row r="396" spans="1:13" x14ac:dyDescent="0.3">
      <c r="A396">
        <v>31</v>
      </c>
      <c r="B396" t="s">
        <v>1010</v>
      </c>
      <c r="C396">
        <v>3</v>
      </c>
      <c r="D396" t="s">
        <v>1016</v>
      </c>
      <c r="E396" t="s">
        <v>1012</v>
      </c>
      <c r="F396" t="s">
        <v>1011</v>
      </c>
      <c r="G396" s="5">
        <v>2406</v>
      </c>
      <c r="H396">
        <v>9</v>
      </c>
      <c r="I396" t="s">
        <v>1022</v>
      </c>
      <c r="J396" t="str">
        <f t="shared" si="24"/>
        <v>Low Risk</v>
      </c>
      <c r="K396" t="str">
        <f t="shared" si="25"/>
        <v>Senior</v>
      </c>
      <c r="L396" t="str">
        <f t="shared" si="26"/>
        <v>Short</v>
      </c>
      <c r="M396" t="str">
        <f t="shared" si="27"/>
        <v>Low Risk</v>
      </c>
    </row>
    <row r="397" spans="1:13" x14ac:dyDescent="0.3">
      <c r="A397">
        <v>32</v>
      </c>
      <c r="B397" t="s">
        <v>1010</v>
      </c>
      <c r="C397">
        <v>2</v>
      </c>
      <c r="D397" t="s">
        <v>1017</v>
      </c>
      <c r="E397" t="s">
        <v>1013</v>
      </c>
      <c r="F397" t="s">
        <v>1013</v>
      </c>
      <c r="G397" s="5">
        <v>11760</v>
      </c>
      <c r="H397">
        <v>39</v>
      </c>
      <c r="I397" t="s">
        <v>1021</v>
      </c>
      <c r="J397" t="str">
        <f t="shared" si="24"/>
        <v>High Risk</v>
      </c>
      <c r="K397" t="str">
        <f t="shared" si="25"/>
        <v>Senior</v>
      </c>
      <c r="L397" t="str">
        <f t="shared" si="26"/>
        <v>Long</v>
      </c>
      <c r="M397" t="str">
        <f t="shared" si="27"/>
        <v>HighRisk</v>
      </c>
    </row>
    <row r="398" spans="1:13" x14ac:dyDescent="0.3">
      <c r="A398">
        <v>55</v>
      </c>
      <c r="B398" t="s">
        <v>1009</v>
      </c>
      <c r="C398">
        <v>3</v>
      </c>
      <c r="D398" t="s">
        <v>1015</v>
      </c>
      <c r="E398" t="s">
        <v>1012</v>
      </c>
      <c r="F398" t="s">
        <v>1012</v>
      </c>
      <c r="G398" s="5">
        <v>2578</v>
      </c>
      <c r="H398">
        <v>12</v>
      </c>
      <c r="I398" t="s">
        <v>1022</v>
      </c>
      <c r="J398" t="str">
        <f t="shared" si="24"/>
        <v>Low Risk</v>
      </c>
      <c r="K398" t="str">
        <f t="shared" si="25"/>
        <v>Adult</v>
      </c>
      <c r="L398" t="str">
        <f t="shared" si="26"/>
        <v>Medium</v>
      </c>
      <c r="M398" t="str">
        <f t="shared" si="27"/>
        <v>Low Risk</v>
      </c>
    </row>
    <row r="399" spans="1:13" x14ac:dyDescent="0.3">
      <c r="A399">
        <v>46</v>
      </c>
      <c r="B399" t="s">
        <v>1010</v>
      </c>
      <c r="C399">
        <v>2</v>
      </c>
      <c r="D399" t="s">
        <v>1016</v>
      </c>
      <c r="E399" t="s">
        <v>1012</v>
      </c>
      <c r="F399" t="s">
        <v>1012</v>
      </c>
      <c r="G399" s="5">
        <v>2348</v>
      </c>
      <c r="H399">
        <v>36</v>
      </c>
      <c r="I399" t="s">
        <v>1022</v>
      </c>
      <c r="J399" t="str">
        <f t="shared" si="24"/>
        <v>Low Risk</v>
      </c>
      <c r="K399" t="str">
        <f t="shared" si="25"/>
        <v>Senior</v>
      </c>
      <c r="L399" t="str">
        <f t="shared" si="26"/>
        <v>Long</v>
      </c>
      <c r="M399" t="str">
        <f t="shared" si="27"/>
        <v>Low Risk</v>
      </c>
    </row>
    <row r="400" spans="1:13" x14ac:dyDescent="0.3">
      <c r="A400">
        <v>46</v>
      </c>
      <c r="B400" t="s">
        <v>1010</v>
      </c>
      <c r="C400">
        <v>2</v>
      </c>
      <c r="D400" t="s">
        <v>1017</v>
      </c>
      <c r="E400" t="s">
        <v>1012</v>
      </c>
      <c r="F400" t="s">
        <v>1013</v>
      </c>
      <c r="G400" s="5">
        <v>1223</v>
      </c>
      <c r="H400">
        <v>12</v>
      </c>
      <c r="I400" t="s">
        <v>1019</v>
      </c>
      <c r="J400" t="str">
        <f t="shared" si="24"/>
        <v>Low Risk</v>
      </c>
      <c r="K400" t="str">
        <f t="shared" si="25"/>
        <v>Senior</v>
      </c>
      <c r="L400" t="str">
        <f t="shared" si="26"/>
        <v>Medium</v>
      </c>
      <c r="M400" t="str">
        <f t="shared" si="27"/>
        <v>Low Risk</v>
      </c>
    </row>
    <row r="401" spans="1:13" x14ac:dyDescent="0.3">
      <c r="A401">
        <v>43</v>
      </c>
      <c r="B401" t="s">
        <v>1009</v>
      </c>
      <c r="C401">
        <v>1</v>
      </c>
      <c r="D401" t="s">
        <v>1016</v>
      </c>
      <c r="E401" t="s">
        <v>1008</v>
      </c>
      <c r="F401" t="s">
        <v>1011</v>
      </c>
      <c r="G401" s="5">
        <v>1516</v>
      </c>
      <c r="H401">
        <v>24</v>
      </c>
      <c r="I401" t="s">
        <v>1023</v>
      </c>
      <c r="J401" t="str">
        <f t="shared" si="24"/>
        <v>Low Risk</v>
      </c>
      <c r="K401" t="str">
        <f t="shared" si="25"/>
        <v>Senior</v>
      </c>
      <c r="L401" t="str">
        <f t="shared" si="26"/>
        <v>Medium</v>
      </c>
      <c r="M401" t="str">
        <f t="shared" si="27"/>
        <v>Low Risk</v>
      </c>
    </row>
    <row r="402" spans="1:13" x14ac:dyDescent="0.3">
      <c r="A402">
        <v>39</v>
      </c>
      <c r="B402" t="s">
        <v>1010</v>
      </c>
      <c r="C402">
        <v>2</v>
      </c>
      <c r="D402" t="s">
        <v>1016</v>
      </c>
      <c r="E402" t="s">
        <v>1012</v>
      </c>
      <c r="F402" t="s">
        <v>1011</v>
      </c>
      <c r="G402" s="5">
        <v>1473</v>
      </c>
      <c r="H402">
        <v>18</v>
      </c>
      <c r="I402" t="s">
        <v>1023</v>
      </c>
      <c r="J402" t="str">
        <f t="shared" si="24"/>
        <v>Low Risk</v>
      </c>
      <c r="K402" t="str">
        <f t="shared" si="25"/>
        <v>Senior</v>
      </c>
      <c r="L402" t="str">
        <f t="shared" si="26"/>
        <v>Medium</v>
      </c>
      <c r="M402" t="str">
        <f t="shared" si="27"/>
        <v>Low Risk</v>
      </c>
    </row>
    <row r="403" spans="1:13" x14ac:dyDescent="0.3">
      <c r="A403">
        <v>28</v>
      </c>
      <c r="B403" t="s">
        <v>1010</v>
      </c>
      <c r="C403">
        <v>2</v>
      </c>
      <c r="D403" t="s">
        <v>1016</v>
      </c>
      <c r="E403" t="s">
        <v>1011</v>
      </c>
      <c r="F403" t="s">
        <v>1013</v>
      </c>
      <c r="G403" s="5">
        <v>1887</v>
      </c>
      <c r="H403">
        <v>18</v>
      </c>
      <c r="I403" t="s">
        <v>1018</v>
      </c>
      <c r="J403" t="str">
        <f t="shared" si="24"/>
        <v>Low Risk</v>
      </c>
      <c r="K403" t="str">
        <f t="shared" si="25"/>
        <v>Young</v>
      </c>
      <c r="L403" t="str">
        <f t="shared" si="26"/>
        <v>Medium</v>
      </c>
      <c r="M403" t="str">
        <f t="shared" si="27"/>
        <v>Low Risk</v>
      </c>
    </row>
    <row r="404" spans="1:13" x14ac:dyDescent="0.3">
      <c r="A404">
        <v>27</v>
      </c>
      <c r="B404" t="s">
        <v>1010</v>
      </c>
      <c r="C404">
        <v>2</v>
      </c>
      <c r="D404" t="s">
        <v>1016</v>
      </c>
      <c r="E404" t="s">
        <v>1012</v>
      </c>
      <c r="F404" t="s">
        <v>1011</v>
      </c>
      <c r="G404" s="5">
        <v>8648</v>
      </c>
      <c r="H404">
        <v>24</v>
      </c>
      <c r="I404" t="s">
        <v>1018</v>
      </c>
      <c r="J404" t="str">
        <f t="shared" si="24"/>
        <v>High Risk</v>
      </c>
      <c r="K404" t="str">
        <f t="shared" si="25"/>
        <v>Young</v>
      </c>
      <c r="L404" t="str">
        <f t="shared" si="26"/>
        <v>Medium</v>
      </c>
      <c r="M404" t="str">
        <f t="shared" si="27"/>
        <v>HighRisk</v>
      </c>
    </row>
    <row r="405" spans="1:13" x14ac:dyDescent="0.3">
      <c r="A405">
        <v>27</v>
      </c>
      <c r="B405" t="s">
        <v>1010</v>
      </c>
      <c r="C405">
        <v>1</v>
      </c>
      <c r="D405" t="s">
        <v>1016</v>
      </c>
      <c r="E405" t="s">
        <v>1012</v>
      </c>
      <c r="F405" t="s">
        <v>1011</v>
      </c>
      <c r="G405" s="5">
        <v>802</v>
      </c>
      <c r="H405">
        <v>14</v>
      </c>
      <c r="I405" t="s">
        <v>1019</v>
      </c>
      <c r="J405" t="str">
        <f t="shared" si="24"/>
        <v>Low Risk</v>
      </c>
      <c r="K405" t="str">
        <f t="shared" si="25"/>
        <v>Young</v>
      </c>
      <c r="L405" t="str">
        <f t="shared" si="26"/>
        <v>Medium</v>
      </c>
      <c r="M405" t="str">
        <f t="shared" si="27"/>
        <v>Low Risk</v>
      </c>
    </row>
    <row r="406" spans="1:13" x14ac:dyDescent="0.3">
      <c r="A406">
        <v>43</v>
      </c>
      <c r="B406" t="s">
        <v>1010</v>
      </c>
      <c r="C406">
        <v>2</v>
      </c>
      <c r="D406" t="s">
        <v>1016</v>
      </c>
      <c r="E406" t="s">
        <v>1011</v>
      </c>
      <c r="F406" t="s">
        <v>1013</v>
      </c>
      <c r="G406" s="5">
        <v>2899</v>
      </c>
      <c r="H406">
        <v>18</v>
      </c>
      <c r="I406" t="s">
        <v>1019</v>
      </c>
      <c r="J406" t="str">
        <f t="shared" si="24"/>
        <v>Low Risk</v>
      </c>
      <c r="K406" t="str">
        <f t="shared" si="25"/>
        <v>Senior</v>
      </c>
      <c r="L406" t="str">
        <f t="shared" si="26"/>
        <v>Medium</v>
      </c>
      <c r="M406" t="str">
        <f t="shared" si="27"/>
        <v>Low Risk</v>
      </c>
    </row>
    <row r="407" spans="1:13" x14ac:dyDescent="0.3">
      <c r="A407">
        <v>22</v>
      </c>
      <c r="B407" t="s">
        <v>1010</v>
      </c>
      <c r="C407">
        <v>2</v>
      </c>
      <c r="D407" t="s">
        <v>1016</v>
      </c>
      <c r="E407" t="s">
        <v>1012</v>
      </c>
      <c r="F407" t="s">
        <v>1013</v>
      </c>
      <c r="G407" s="5">
        <v>2039</v>
      </c>
      <c r="H407">
        <v>24</v>
      </c>
      <c r="I407" t="s">
        <v>1023</v>
      </c>
      <c r="J407" t="str">
        <f t="shared" si="24"/>
        <v>Low Risk</v>
      </c>
      <c r="K407" t="str">
        <f t="shared" si="25"/>
        <v>Young</v>
      </c>
      <c r="L407" t="str">
        <f t="shared" si="26"/>
        <v>Medium</v>
      </c>
      <c r="M407" t="str">
        <f t="shared" si="27"/>
        <v>Low Risk</v>
      </c>
    </row>
    <row r="408" spans="1:13" x14ac:dyDescent="0.3">
      <c r="A408">
        <v>43</v>
      </c>
      <c r="B408" t="s">
        <v>1010</v>
      </c>
      <c r="C408">
        <v>2</v>
      </c>
      <c r="D408" t="s">
        <v>1016</v>
      </c>
      <c r="E408" t="s">
        <v>1011</v>
      </c>
      <c r="F408" t="s">
        <v>1011</v>
      </c>
      <c r="G408" s="5">
        <v>2197</v>
      </c>
      <c r="H408">
        <v>24</v>
      </c>
      <c r="I408" t="s">
        <v>1019</v>
      </c>
      <c r="J408" t="str">
        <f t="shared" si="24"/>
        <v>Low Risk</v>
      </c>
      <c r="K408" t="str">
        <f t="shared" si="25"/>
        <v>Senior</v>
      </c>
      <c r="L408" t="str">
        <f t="shared" si="26"/>
        <v>Medium</v>
      </c>
      <c r="M408" t="str">
        <f t="shared" si="27"/>
        <v>Low Risk</v>
      </c>
    </row>
    <row r="409" spans="1:13" x14ac:dyDescent="0.3">
      <c r="A409">
        <v>27</v>
      </c>
      <c r="B409" t="s">
        <v>1010</v>
      </c>
      <c r="C409">
        <v>2</v>
      </c>
      <c r="D409" t="s">
        <v>1016</v>
      </c>
      <c r="E409" t="s">
        <v>1012</v>
      </c>
      <c r="F409" t="s">
        <v>1012</v>
      </c>
      <c r="G409" s="5">
        <v>1053</v>
      </c>
      <c r="H409">
        <v>15</v>
      </c>
      <c r="I409" t="s">
        <v>1023</v>
      </c>
      <c r="J409" t="str">
        <f t="shared" si="24"/>
        <v>Low Risk</v>
      </c>
      <c r="K409" t="str">
        <f t="shared" si="25"/>
        <v>Young</v>
      </c>
      <c r="L409" t="str">
        <f t="shared" si="26"/>
        <v>Medium</v>
      </c>
      <c r="M409" t="str">
        <f t="shared" si="27"/>
        <v>Low Risk</v>
      </c>
    </row>
    <row r="410" spans="1:13" x14ac:dyDescent="0.3">
      <c r="A410">
        <v>26</v>
      </c>
      <c r="B410" t="s">
        <v>1010</v>
      </c>
      <c r="C410">
        <v>3</v>
      </c>
      <c r="D410" t="s">
        <v>1016</v>
      </c>
      <c r="E410" t="s">
        <v>1014</v>
      </c>
      <c r="F410" t="s">
        <v>1011</v>
      </c>
      <c r="G410" s="5">
        <v>3235</v>
      </c>
      <c r="H410">
        <v>24</v>
      </c>
      <c r="I410" t="s">
        <v>1023</v>
      </c>
      <c r="J410" t="str">
        <f t="shared" si="24"/>
        <v>Low Risk</v>
      </c>
      <c r="K410" t="str">
        <f t="shared" si="25"/>
        <v>Young</v>
      </c>
      <c r="L410" t="str">
        <f t="shared" si="26"/>
        <v>Medium</v>
      </c>
      <c r="M410" t="str">
        <f t="shared" si="27"/>
        <v>Medium Risk</v>
      </c>
    </row>
    <row r="411" spans="1:13" x14ac:dyDescent="0.3">
      <c r="A411">
        <v>28</v>
      </c>
      <c r="B411" t="s">
        <v>1010</v>
      </c>
      <c r="C411">
        <v>2</v>
      </c>
      <c r="D411" t="s">
        <v>1016</v>
      </c>
      <c r="E411" t="s">
        <v>1014</v>
      </c>
      <c r="F411" t="s">
        <v>1008</v>
      </c>
      <c r="G411" s="5">
        <v>939</v>
      </c>
      <c r="H411">
        <v>12</v>
      </c>
      <c r="I411" t="s">
        <v>1019</v>
      </c>
      <c r="J411" t="str">
        <f t="shared" si="24"/>
        <v>Low Risk</v>
      </c>
      <c r="K411" t="str">
        <f t="shared" si="25"/>
        <v>Young</v>
      </c>
      <c r="L411" t="str">
        <f t="shared" si="26"/>
        <v>Medium</v>
      </c>
      <c r="M411" t="str">
        <f t="shared" si="27"/>
        <v>Low Risk</v>
      </c>
    </row>
    <row r="412" spans="1:13" x14ac:dyDescent="0.3">
      <c r="A412">
        <v>20</v>
      </c>
      <c r="B412" t="s">
        <v>1009</v>
      </c>
      <c r="C412">
        <v>2</v>
      </c>
      <c r="D412" t="s">
        <v>1016</v>
      </c>
      <c r="E412" t="s">
        <v>1012</v>
      </c>
      <c r="F412" t="s">
        <v>1013</v>
      </c>
      <c r="G412" s="5">
        <v>1967</v>
      </c>
      <c r="H412">
        <v>24</v>
      </c>
      <c r="I412" t="s">
        <v>1023</v>
      </c>
      <c r="J412" t="str">
        <f t="shared" si="24"/>
        <v>Low Risk</v>
      </c>
      <c r="K412" t="str">
        <f t="shared" si="25"/>
        <v>Young</v>
      </c>
      <c r="L412" t="str">
        <f t="shared" si="26"/>
        <v>Medium</v>
      </c>
      <c r="M412" t="str">
        <f t="shared" si="27"/>
        <v>Low Risk</v>
      </c>
    </row>
    <row r="413" spans="1:13" x14ac:dyDescent="0.3">
      <c r="A413">
        <v>35</v>
      </c>
      <c r="B413" t="s">
        <v>1010</v>
      </c>
      <c r="C413">
        <v>3</v>
      </c>
      <c r="D413" t="s">
        <v>1016</v>
      </c>
      <c r="E413" t="s">
        <v>1012</v>
      </c>
      <c r="F413" t="s">
        <v>1011</v>
      </c>
      <c r="G413" s="5">
        <v>7253</v>
      </c>
      <c r="H413">
        <v>33</v>
      </c>
      <c r="I413" t="s">
        <v>1019</v>
      </c>
      <c r="J413" t="str">
        <f t="shared" si="24"/>
        <v>High Risk</v>
      </c>
      <c r="K413" t="str">
        <f t="shared" si="25"/>
        <v>Senior</v>
      </c>
      <c r="L413" t="str">
        <f t="shared" si="26"/>
        <v>Medium</v>
      </c>
      <c r="M413" t="str">
        <f t="shared" si="27"/>
        <v>HighRisk</v>
      </c>
    </row>
    <row r="414" spans="1:13" x14ac:dyDescent="0.3">
      <c r="A414">
        <v>42</v>
      </c>
      <c r="B414" t="s">
        <v>1010</v>
      </c>
      <c r="C414">
        <v>3</v>
      </c>
      <c r="D414" t="s">
        <v>1016</v>
      </c>
      <c r="E414" t="s">
        <v>1012</v>
      </c>
      <c r="F414" t="s">
        <v>1011</v>
      </c>
      <c r="G414" s="5">
        <v>2292</v>
      </c>
      <c r="H414">
        <v>12</v>
      </c>
      <c r="I414" t="s">
        <v>1018</v>
      </c>
      <c r="J414" t="str">
        <f t="shared" si="24"/>
        <v>Low Risk</v>
      </c>
      <c r="K414" t="str">
        <f t="shared" si="25"/>
        <v>Senior</v>
      </c>
      <c r="L414" t="str">
        <f t="shared" si="26"/>
        <v>Medium</v>
      </c>
      <c r="M414" t="str">
        <f t="shared" si="27"/>
        <v>Low Risk</v>
      </c>
    </row>
    <row r="415" spans="1:13" x14ac:dyDescent="0.3">
      <c r="A415">
        <v>40</v>
      </c>
      <c r="B415" t="s">
        <v>1010</v>
      </c>
      <c r="C415">
        <v>1</v>
      </c>
      <c r="D415" t="s">
        <v>1017</v>
      </c>
      <c r="E415" t="s">
        <v>1014</v>
      </c>
      <c r="F415" t="s">
        <v>1011</v>
      </c>
      <c r="G415" s="5">
        <v>1597</v>
      </c>
      <c r="H415">
        <v>10</v>
      </c>
      <c r="I415" t="s">
        <v>1019</v>
      </c>
      <c r="J415" t="str">
        <f t="shared" si="24"/>
        <v>Low Risk</v>
      </c>
      <c r="K415" t="str">
        <f t="shared" si="25"/>
        <v>Senior</v>
      </c>
      <c r="L415" t="str">
        <f t="shared" si="26"/>
        <v>Short</v>
      </c>
      <c r="M415" t="str">
        <f t="shared" si="27"/>
        <v>Low Risk</v>
      </c>
    </row>
    <row r="416" spans="1:13" x14ac:dyDescent="0.3">
      <c r="A416">
        <v>35</v>
      </c>
      <c r="B416" t="s">
        <v>1009</v>
      </c>
      <c r="C416">
        <v>2</v>
      </c>
      <c r="D416" t="s">
        <v>1016</v>
      </c>
      <c r="E416" t="s">
        <v>1011</v>
      </c>
      <c r="F416" t="s">
        <v>1012</v>
      </c>
      <c r="G416" s="5">
        <v>1381</v>
      </c>
      <c r="H416">
        <v>24</v>
      </c>
      <c r="I416" t="s">
        <v>1019</v>
      </c>
      <c r="J416" t="str">
        <f t="shared" si="24"/>
        <v>Low Risk</v>
      </c>
      <c r="K416" t="str">
        <f t="shared" si="25"/>
        <v>Senior</v>
      </c>
      <c r="L416" t="str">
        <f t="shared" si="26"/>
        <v>Medium</v>
      </c>
      <c r="M416" t="str">
        <f t="shared" si="27"/>
        <v>Low Risk</v>
      </c>
    </row>
    <row r="417" spans="1:13" x14ac:dyDescent="0.3">
      <c r="A417">
        <v>35</v>
      </c>
      <c r="B417" t="s">
        <v>1010</v>
      </c>
      <c r="C417">
        <v>2</v>
      </c>
      <c r="D417" t="s">
        <v>1016</v>
      </c>
      <c r="E417" t="s">
        <v>1012</v>
      </c>
      <c r="F417" t="s">
        <v>1011</v>
      </c>
      <c r="G417" s="5">
        <v>5842</v>
      </c>
      <c r="H417">
        <v>36</v>
      </c>
      <c r="I417" t="s">
        <v>1019</v>
      </c>
      <c r="J417" t="str">
        <f t="shared" si="24"/>
        <v>Medium Risk</v>
      </c>
      <c r="K417" t="str">
        <f t="shared" si="25"/>
        <v>Senior</v>
      </c>
      <c r="L417" t="str">
        <f t="shared" si="26"/>
        <v>Long</v>
      </c>
      <c r="M417" t="str">
        <f t="shared" si="27"/>
        <v>Medium Risk</v>
      </c>
    </row>
    <row r="418" spans="1:13" x14ac:dyDescent="0.3">
      <c r="A418">
        <v>33</v>
      </c>
      <c r="B418" t="s">
        <v>1010</v>
      </c>
      <c r="C418">
        <v>1</v>
      </c>
      <c r="D418" t="s">
        <v>1016</v>
      </c>
      <c r="E418" t="s">
        <v>1012</v>
      </c>
      <c r="F418" t="s">
        <v>1012</v>
      </c>
      <c r="G418" s="5">
        <v>2579</v>
      </c>
      <c r="H418">
        <v>12</v>
      </c>
      <c r="I418" t="s">
        <v>1019</v>
      </c>
      <c r="J418" t="str">
        <f t="shared" si="24"/>
        <v>Low Risk</v>
      </c>
      <c r="K418" t="str">
        <f t="shared" si="25"/>
        <v>Senior</v>
      </c>
      <c r="L418" t="str">
        <f t="shared" si="26"/>
        <v>Medium</v>
      </c>
      <c r="M418" t="str">
        <f t="shared" si="27"/>
        <v>Low Risk</v>
      </c>
    </row>
    <row r="419" spans="1:13" x14ac:dyDescent="0.3">
      <c r="A419">
        <v>23</v>
      </c>
      <c r="B419" t="s">
        <v>1009</v>
      </c>
      <c r="C419">
        <v>2</v>
      </c>
      <c r="D419" t="s">
        <v>1017</v>
      </c>
      <c r="E419" t="s">
        <v>1011</v>
      </c>
      <c r="F419" t="s">
        <v>1012</v>
      </c>
      <c r="G419" s="5">
        <v>8471</v>
      </c>
      <c r="H419">
        <v>18</v>
      </c>
      <c r="I419" t="s">
        <v>1021</v>
      </c>
      <c r="J419" t="str">
        <f t="shared" si="24"/>
        <v>High Risk</v>
      </c>
      <c r="K419" t="str">
        <f t="shared" si="25"/>
        <v>Young</v>
      </c>
      <c r="L419" t="str">
        <f t="shared" si="26"/>
        <v>Medium</v>
      </c>
      <c r="M419" t="str">
        <f t="shared" si="27"/>
        <v>HighRisk</v>
      </c>
    </row>
    <row r="420" spans="1:13" x14ac:dyDescent="0.3">
      <c r="A420">
        <v>31</v>
      </c>
      <c r="B420" t="s">
        <v>1009</v>
      </c>
      <c r="C420">
        <v>3</v>
      </c>
      <c r="D420" t="s">
        <v>1016</v>
      </c>
      <c r="E420" t="s">
        <v>1014</v>
      </c>
      <c r="F420" t="s">
        <v>1011</v>
      </c>
      <c r="G420" s="5">
        <v>2782</v>
      </c>
      <c r="H420">
        <v>21</v>
      </c>
      <c r="I420" t="s">
        <v>1019</v>
      </c>
      <c r="J420" t="str">
        <f t="shared" si="24"/>
        <v>Low Risk</v>
      </c>
      <c r="K420" t="str">
        <f t="shared" si="25"/>
        <v>Senior</v>
      </c>
      <c r="L420" t="str">
        <f t="shared" si="26"/>
        <v>Medium</v>
      </c>
      <c r="M420" t="str">
        <f t="shared" si="27"/>
        <v>Low Risk</v>
      </c>
    </row>
    <row r="421" spans="1:13" x14ac:dyDescent="0.3">
      <c r="A421">
        <v>33</v>
      </c>
      <c r="B421" t="s">
        <v>1009</v>
      </c>
      <c r="C421">
        <v>2</v>
      </c>
      <c r="D421" t="s">
        <v>1016</v>
      </c>
      <c r="E421" t="s">
        <v>1011</v>
      </c>
      <c r="F421" t="s">
        <v>1013</v>
      </c>
      <c r="G421" s="5">
        <v>1042</v>
      </c>
      <c r="H421">
        <v>18</v>
      </c>
      <c r="I421" t="s">
        <v>1019</v>
      </c>
      <c r="J421" t="str">
        <f t="shared" si="24"/>
        <v>Low Risk</v>
      </c>
      <c r="K421" t="str">
        <f t="shared" si="25"/>
        <v>Senior</v>
      </c>
      <c r="L421" t="str">
        <f t="shared" si="26"/>
        <v>Medium</v>
      </c>
      <c r="M421" t="str">
        <f t="shared" si="27"/>
        <v>Low Risk</v>
      </c>
    </row>
    <row r="422" spans="1:13" x14ac:dyDescent="0.3">
      <c r="A422">
        <v>20</v>
      </c>
      <c r="B422" t="s">
        <v>1009</v>
      </c>
      <c r="C422">
        <v>2</v>
      </c>
      <c r="D422" t="s">
        <v>1017</v>
      </c>
      <c r="E422" t="s">
        <v>1008</v>
      </c>
      <c r="F422" t="s">
        <v>1011</v>
      </c>
      <c r="G422" s="5">
        <v>3186</v>
      </c>
      <c r="H422">
        <v>15</v>
      </c>
      <c r="I422" t="s">
        <v>1019</v>
      </c>
      <c r="J422" t="str">
        <f t="shared" si="24"/>
        <v>Low Risk</v>
      </c>
      <c r="K422" t="str">
        <f t="shared" si="25"/>
        <v>Young</v>
      </c>
      <c r="L422" t="str">
        <f t="shared" si="26"/>
        <v>Medium</v>
      </c>
      <c r="M422" t="str">
        <f t="shared" si="27"/>
        <v>Medium Risk</v>
      </c>
    </row>
    <row r="423" spans="1:13" x14ac:dyDescent="0.3">
      <c r="A423">
        <v>30</v>
      </c>
      <c r="B423" t="s">
        <v>1010</v>
      </c>
      <c r="C423">
        <v>2</v>
      </c>
      <c r="D423" t="s">
        <v>1016</v>
      </c>
      <c r="E423" t="s">
        <v>1011</v>
      </c>
      <c r="F423" t="s">
        <v>1013</v>
      </c>
      <c r="G423" s="5">
        <v>2028</v>
      </c>
      <c r="H423">
        <v>12</v>
      </c>
      <c r="I423" t="s">
        <v>1019</v>
      </c>
      <c r="J423" t="str">
        <f t="shared" si="24"/>
        <v>Low Risk</v>
      </c>
      <c r="K423" t="str">
        <f t="shared" si="25"/>
        <v>Senior</v>
      </c>
      <c r="L423" t="str">
        <f t="shared" si="26"/>
        <v>Medium</v>
      </c>
      <c r="M423" t="str">
        <f t="shared" si="27"/>
        <v>Low Risk</v>
      </c>
    </row>
    <row r="424" spans="1:13" x14ac:dyDescent="0.3">
      <c r="A424">
        <v>47</v>
      </c>
      <c r="B424" t="s">
        <v>1010</v>
      </c>
      <c r="C424">
        <v>1</v>
      </c>
      <c r="D424" t="s">
        <v>1016</v>
      </c>
      <c r="E424" t="s">
        <v>1012</v>
      </c>
      <c r="F424" t="s">
        <v>1013</v>
      </c>
      <c r="G424" s="5">
        <v>958</v>
      </c>
      <c r="H424">
        <v>12</v>
      </c>
      <c r="I424" t="s">
        <v>1019</v>
      </c>
      <c r="J424" t="str">
        <f t="shared" si="24"/>
        <v>Low Risk</v>
      </c>
      <c r="K424" t="str">
        <f t="shared" si="25"/>
        <v>Senior</v>
      </c>
      <c r="L424" t="str">
        <f t="shared" si="26"/>
        <v>Medium</v>
      </c>
      <c r="M424" t="str">
        <f t="shared" si="27"/>
        <v>Low Risk</v>
      </c>
    </row>
    <row r="425" spans="1:13" x14ac:dyDescent="0.3">
      <c r="A425">
        <v>34</v>
      </c>
      <c r="B425" t="s">
        <v>1010</v>
      </c>
      <c r="C425">
        <v>3</v>
      </c>
      <c r="D425" t="s">
        <v>1016</v>
      </c>
      <c r="E425" t="s">
        <v>1013</v>
      </c>
      <c r="F425" t="s">
        <v>1011</v>
      </c>
      <c r="G425" s="5">
        <v>1591</v>
      </c>
      <c r="H425">
        <v>21</v>
      </c>
      <c r="I425" t="s">
        <v>1022</v>
      </c>
      <c r="J425" t="str">
        <f t="shared" si="24"/>
        <v>Low Risk</v>
      </c>
      <c r="K425" t="str">
        <f t="shared" si="25"/>
        <v>Senior</v>
      </c>
      <c r="L425" t="str">
        <f t="shared" si="26"/>
        <v>Medium</v>
      </c>
      <c r="M425" t="str">
        <f t="shared" si="27"/>
        <v>Low Risk</v>
      </c>
    </row>
    <row r="426" spans="1:13" x14ac:dyDescent="0.3">
      <c r="A426">
        <v>25</v>
      </c>
      <c r="B426" t="s">
        <v>1009</v>
      </c>
      <c r="C426">
        <v>2</v>
      </c>
      <c r="D426" t="s">
        <v>1016</v>
      </c>
      <c r="E426" t="s">
        <v>1011</v>
      </c>
      <c r="F426" t="s">
        <v>1013</v>
      </c>
      <c r="G426" s="5">
        <v>2762</v>
      </c>
      <c r="H426">
        <v>12</v>
      </c>
      <c r="I426" t="s">
        <v>1022</v>
      </c>
      <c r="J426" t="str">
        <f t="shared" si="24"/>
        <v>Low Risk</v>
      </c>
      <c r="K426" t="str">
        <f t="shared" si="25"/>
        <v>Young</v>
      </c>
      <c r="L426" t="str">
        <f t="shared" si="26"/>
        <v>Medium</v>
      </c>
      <c r="M426" t="str">
        <f t="shared" si="27"/>
        <v>Low Risk</v>
      </c>
    </row>
    <row r="427" spans="1:13" x14ac:dyDescent="0.3">
      <c r="A427">
        <v>21</v>
      </c>
      <c r="B427" t="s">
        <v>1010</v>
      </c>
      <c r="C427">
        <v>2</v>
      </c>
      <c r="D427" t="s">
        <v>1017</v>
      </c>
      <c r="E427" t="s">
        <v>1012</v>
      </c>
      <c r="F427" t="s">
        <v>1013</v>
      </c>
      <c r="G427" s="5">
        <v>2779</v>
      </c>
      <c r="H427">
        <v>18</v>
      </c>
      <c r="I427" t="s">
        <v>1019</v>
      </c>
      <c r="J427" t="str">
        <f t="shared" si="24"/>
        <v>Low Risk</v>
      </c>
      <c r="K427" t="str">
        <f t="shared" si="25"/>
        <v>Young</v>
      </c>
      <c r="L427" t="str">
        <f t="shared" si="26"/>
        <v>Medium</v>
      </c>
      <c r="M427" t="str">
        <f t="shared" si="27"/>
        <v>Low Risk</v>
      </c>
    </row>
    <row r="428" spans="1:13" x14ac:dyDescent="0.3">
      <c r="A428">
        <v>29</v>
      </c>
      <c r="B428" t="s">
        <v>1010</v>
      </c>
      <c r="C428">
        <v>2</v>
      </c>
      <c r="D428" t="s">
        <v>1016</v>
      </c>
      <c r="E428" t="s">
        <v>1012</v>
      </c>
      <c r="F428" t="s">
        <v>1011</v>
      </c>
      <c r="G428" s="5">
        <v>2743</v>
      </c>
      <c r="H428">
        <v>28</v>
      </c>
      <c r="I428" t="s">
        <v>1023</v>
      </c>
      <c r="J428" t="str">
        <f t="shared" si="24"/>
        <v>Low Risk</v>
      </c>
      <c r="K428" t="str">
        <f t="shared" si="25"/>
        <v>Young</v>
      </c>
      <c r="L428" t="str">
        <f t="shared" si="26"/>
        <v>Medium</v>
      </c>
      <c r="M428" t="str">
        <f t="shared" si="27"/>
        <v>Low Risk</v>
      </c>
    </row>
    <row r="429" spans="1:13" x14ac:dyDescent="0.3">
      <c r="A429">
        <v>46</v>
      </c>
      <c r="B429" t="s">
        <v>1010</v>
      </c>
      <c r="C429">
        <v>2</v>
      </c>
      <c r="D429" t="s">
        <v>1016</v>
      </c>
      <c r="E429" t="s">
        <v>1008</v>
      </c>
      <c r="F429" t="s">
        <v>1011</v>
      </c>
      <c r="G429" s="5">
        <v>1149</v>
      </c>
      <c r="H429">
        <v>18</v>
      </c>
      <c r="I429" t="s">
        <v>1023</v>
      </c>
      <c r="J429" t="str">
        <f t="shared" si="24"/>
        <v>Low Risk</v>
      </c>
      <c r="K429" t="str">
        <f t="shared" si="25"/>
        <v>Senior</v>
      </c>
      <c r="L429" t="str">
        <f t="shared" si="26"/>
        <v>Medium</v>
      </c>
      <c r="M429" t="str">
        <f t="shared" si="27"/>
        <v>Low Risk</v>
      </c>
    </row>
    <row r="430" spans="1:13" x14ac:dyDescent="0.3">
      <c r="A430">
        <v>20</v>
      </c>
      <c r="B430" t="s">
        <v>1010</v>
      </c>
      <c r="C430">
        <v>2</v>
      </c>
      <c r="D430" t="s">
        <v>1016</v>
      </c>
      <c r="E430" t="s">
        <v>1012</v>
      </c>
      <c r="F430" t="s">
        <v>1011</v>
      </c>
      <c r="G430" s="5">
        <v>1313</v>
      </c>
      <c r="H430">
        <v>9</v>
      </c>
      <c r="I430" t="s">
        <v>1022</v>
      </c>
      <c r="J430" t="str">
        <f t="shared" si="24"/>
        <v>Low Risk</v>
      </c>
      <c r="K430" t="str">
        <f t="shared" si="25"/>
        <v>Young</v>
      </c>
      <c r="L430" t="str">
        <f t="shared" si="26"/>
        <v>Short</v>
      </c>
      <c r="M430" t="str">
        <f t="shared" si="27"/>
        <v>Low Risk</v>
      </c>
    </row>
    <row r="431" spans="1:13" x14ac:dyDescent="0.3">
      <c r="A431">
        <v>55</v>
      </c>
      <c r="B431" t="s">
        <v>1009</v>
      </c>
      <c r="C431">
        <v>0</v>
      </c>
      <c r="D431" t="s">
        <v>1015</v>
      </c>
      <c r="E431" t="s">
        <v>1012</v>
      </c>
      <c r="F431" t="s">
        <v>1012</v>
      </c>
      <c r="G431" s="5">
        <v>1190</v>
      </c>
      <c r="H431">
        <v>18</v>
      </c>
      <c r="I431" t="s">
        <v>1024</v>
      </c>
      <c r="J431" t="str">
        <f t="shared" si="24"/>
        <v>Low Risk</v>
      </c>
      <c r="K431" t="str">
        <f t="shared" si="25"/>
        <v>Adult</v>
      </c>
      <c r="L431" t="str">
        <f t="shared" si="26"/>
        <v>Medium</v>
      </c>
      <c r="M431" t="str">
        <f t="shared" si="27"/>
        <v>Low Risk</v>
      </c>
    </row>
    <row r="432" spans="1:13" x14ac:dyDescent="0.3">
      <c r="A432">
        <v>74</v>
      </c>
      <c r="B432" t="s">
        <v>1010</v>
      </c>
      <c r="C432">
        <v>1</v>
      </c>
      <c r="D432" t="s">
        <v>1016</v>
      </c>
      <c r="E432" t="s">
        <v>1012</v>
      </c>
      <c r="F432" t="s">
        <v>1011</v>
      </c>
      <c r="G432" s="5">
        <v>3448</v>
      </c>
      <c r="H432">
        <v>5</v>
      </c>
      <c r="I432" t="s">
        <v>1018</v>
      </c>
      <c r="J432" t="str">
        <f t="shared" si="24"/>
        <v>Low Risk</v>
      </c>
      <c r="K432" t="str">
        <f t="shared" si="25"/>
        <v>Adult</v>
      </c>
      <c r="L432" t="str">
        <f t="shared" si="26"/>
        <v>Short</v>
      </c>
      <c r="M432" t="str">
        <f t="shared" si="27"/>
        <v>Medium Risk</v>
      </c>
    </row>
    <row r="433" spans="1:13" x14ac:dyDescent="0.3">
      <c r="A433">
        <v>29</v>
      </c>
      <c r="B433" t="s">
        <v>1010</v>
      </c>
      <c r="C433">
        <v>3</v>
      </c>
      <c r="D433" t="s">
        <v>1016</v>
      </c>
      <c r="E433" t="s">
        <v>1012</v>
      </c>
      <c r="F433" t="s">
        <v>1013</v>
      </c>
      <c r="G433" s="5">
        <v>11328</v>
      </c>
      <c r="H433">
        <v>24</v>
      </c>
      <c r="I433" t="s">
        <v>1025</v>
      </c>
      <c r="J433" t="str">
        <f t="shared" si="24"/>
        <v>High Risk</v>
      </c>
      <c r="K433" t="str">
        <f t="shared" si="25"/>
        <v>Young</v>
      </c>
      <c r="L433" t="str">
        <f t="shared" si="26"/>
        <v>Medium</v>
      </c>
      <c r="M433" t="str">
        <f t="shared" si="27"/>
        <v>HighRisk</v>
      </c>
    </row>
    <row r="434" spans="1:13" x14ac:dyDescent="0.3">
      <c r="A434">
        <v>36</v>
      </c>
      <c r="B434" t="s">
        <v>1010</v>
      </c>
      <c r="C434">
        <v>3</v>
      </c>
      <c r="D434" t="s">
        <v>1015</v>
      </c>
      <c r="E434" t="s">
        <v>1012</v>
      </c>
      <c r="F434" t="s">
        <v>1012</v>
      </c>
      <c r="G434" s="5">
        <v>1872</v>
      </c>
      <c r="H434">
        <v>6</v>
      </c>
      <c r="I434" t="s">
        <v>1022</v>
      </c>
      <c r="J434" t="str">
        <f t="shared" si="24"/>
        <v>Low Risk</v>
      </c>
      <c r="K434" t="str">
        <f t="shared" si="25"/>
        <v>Senior</v>
      </c>
      <c r="L434" t="str">
        <f t="shared" si="26"/>
        <v>Short</v>
      </c>
      <c r="M434" t="str">
        <f t="shared" si="27"/>
        <v>Low Risk</v>
      </c>
    </row>
    <row r="435" spans="1:13" x14ac:dyDescent="0.3">
      <c r="A435">
        <v>33</v>
      </c>
      <c r="B435" t="s">
        <v>1010</v>
      </c>
      <c r="C435">
        <v>2</v>
      </c>
      <c r="D435" t="s">
        <v>1016</v>
      </c>
      <c r="E435" t="s">
        <v>1012</v>
      </c>
      <c r="F435" t="s">
        <v>1011</v>
      </c>
      <c r="G435" s="5">
        <v>2058</v>
      </c>
      <c r="H435">
        <v>24</v>
      </c>
      <c r="I435" t="s">
        <v>1024</v>
      </c>
      <c r="J435" t="str">
        <f t="shared" si="24"/>
        <v>Low Risk</v>
      </c>
      <c r="K435" t="str">
        <f t="shared" si="25"/>
        <v>Senior</v>
      </c>
      <c r="L435" t="str">
        <f t="shared" si="26"/>
        <v>Medium</v>
      </c>
      <c r="M435" t="str">
        <f t="shared" si="27"/>
        <v>Low Risk</v>
      </c>
    </row>
    <row r="436" spans="1:13" x14ac:dyDescent="0.3">
      <c r="A436">
        <v>25</v>
      </c>
      <c r="B436" t="s">
        <v>1010</v>
      </c>
      <c r="C436">
        <v>2</v>
      </c>
      <c r="D436" t="s">
        <v>1016</v>
      </c>
      <c r="E436" t="s">
        <v>1012</v>
      </c>
      <c r="F436" t="s">
        <v>1012</v>
      </c>
      <c r="G436" s="5">
        <v>2136</v>
      </c>
      <c r="H436">
        <v>9</v>
      </c>
      <c r="I436" t="s">
        <v>1022</v>
      </c>
      <c r="J436" t="str">
        <f t="shared" si="24"/>
        <v>Low Risk</v>
      </c>
      <c r="K436" t="str">
        <f t="shared" si="25"/>
        <v>Young</v>
      </c>
      <c r="L436" t="str">
        <f t="shared" si="26"/>
        <v>Short</v>
      </c>
      <c r="M436" t="str">
        <f t="shared" si="27"/>
        <v>Low Risk</v>
      </c>
    </row>
    <row r="437" spans="1:13" x14ac:dyDescent="0.3">
      <c r="A437">
        <v>25</v>
      </c>
      <c r="B437" t="s">
        <v>1010</v>
      </c>
      <c r="C437">
        <v>2</v>
      </c>
      <c r="D437" t="s">
        <v>1016</v>
      </c>
      <c r="E437" t="s">
        <v>1011</v>
      </c>
      <c r="F437" t="s">
        <v>1013</v>
      </c>
      <c r="G437" s="5">
        <v>1484</v>
      </c>
      <c r="H437">
        <v>12</v>
      </c>
      <c r="I437" t="s">
        <v>1023</v>
      </c>
      <c r="J437" t="str">
        <f t="shared" si="24"/>
        <v>Low Risk</v>
      </c>
      <c r="K437" t="str">
        <f t="shared" si="25"/>
        <v>Young</v>
      </c>
      <c r="L437" t="str">
        <f t="shared" si="26"/>
        <v>Medium</v>
      </c>
      <c r="M437" t="str">
        <f t="shared" si="27"/>
        <v>Low Risk</v>
      </c>
    </row>
    <row r="438" spans="1:13" x14ac:dyDescent="0.3">
      <c r="A438">
        <v>23</v>
      </c>
      <c r="B438" t="s">
        <v>1010</v>
      </c>
      <c r="C438">
        <v>1</v>
      </c>
      <c r="D438" t="s">
        <v>1017</v>
      </c>
      <c r="E438" t="s">
        <v>1014</v>
      </c>
      <c r="F438" t="s">
        <v>1011</v>
      </c>
      <c r="G438" s="5">
        <v>660</v>
      </c>
      <c r="H438">
        <v>6</v>
      </c>
      <c r="I438" t="s">
        <v>1024</v>
      </c>
      <c r="J438" t="str">
        <f t="shared" si="24"/>
        <v>Low Risk</v>
      </c>
      <c r="K438" t="str">
        <f t="shared" si="25"/>
        <v>Young</v>
      </c>
      <c r="L438" t="str">
        <f t="shared" si="26"/>
        <v>Short</v>
      </c>
      <c r="M438" t="str">
        <f t="shared" si="27"/>
        <v>Low Risk</v>
      </c>
    </row>
    <row r="439" spans="1:13" x14ac:dyDescent="0.3">
      <c r="A439">
        <v>37</v>
      </c>
      <c r="B439" t="s">
        <v>1009</v>
      </c>
      <c r="C439">
        <v>2</v>
      </c>
      <c r="D439" t="s">
        <v>1016</v>
      </c>
      <c r="E439" t="s">
        <v>1008</v>
      </c>
      <c r="F439" t="s">
        <v>1011</v>
      </c>
      <c r="G439" s="5">
        <v>1287</v>
      </c>
      <c r="H439">
        <v>24</v>
      </c>
      <c r="I439" t="s">
        <v>1019</v>
      </c>
      <c r="J439" t="str">
        <f t="shared" si="24"/>
        <v>Low Risk</v>
      </c>
      <c r="K439" t="str">
        <f t="shared" si="25"/>
        <v>Senior</v>
      </c>
      <c r="L439" t="str">
        <f t="shared" si="26"/>
        <v>Medium</v>
      </c>
      <c r="M439" t="str">
        <f t="shared" si="27"/>
        <v>Low Risk</v>
      </c>
    </row>
    <row r="440" spans="1:13" x14ac:dyDescent="0.3">
      <c r="A440">
        <v>65</v>
      </c>
      <c r="B440" t="s">
        <v>1010</v>
      </c>
      <c r="C440">
        <v>0</v>
      </c>
      <c r="D440" t="s">
        <v>1016</v>
      </c>
      <c r="E440" t="s">
        <v>1012</v>
      </c>
      <c r="F440" t="s">
        <v>1012</v>
      </c>
      <c r="G440" s="5">
        <v>3394</v>
      </c>
      <c r="H440">
        <v>42</v>
      </c>
      <c r="I440" t="s">
        <v>1024</v>
      </c>
      <c r="J440" t="str">
        <f t="shared" si="24"/>
        <v>High Risk</v>
      </c>
      <c r="K440" t="str">
        <f t="shared" si="25"/>
        <v>Adult</v>
      </c>
      <c r="L440" t="str">
        <f t="shared" si="26"/>
        <v>Long</v>
      </c>
      <c r="M440" t="str">
        <f t="shared" si="27"/>
        <v>Medium Risk</v>
      </c>
    </row>
    <row r="441" spans="1:13" x14ac:dyDescent="0.3">
      <c r="A441">
        <v>26</v>
      </c>
      <c r="B441" t="s">
        <v>1009</v>
      </c>
      <c r="C441">
        <v>0</v>
      </c>
      <c r="D441" t="s">
        <v>1016</v>
      </c>
      <c r="E441" t="s">
        <v>1012</v>
      </c>
      <c r="F441" t="s">
        <v>1008</v>
      </c>
      <c r="G441" s="5">
        <v>609</v>
      </c>
      <c r="H441">
        <v>12</v>
      </c>
      <c r="I441" t="s">
        <v>1018</v>
      </c>
      <c r="J441" t="str">
        <f t="shared" si="24"/>
        <v>Low Risk</v>
      </c>
      <c r="K441" t="str">
        <f t="shared" si="25"/>
        <v>Young</v>
      </c>
      <c r="L441" t="str">
        <f t="shared" si="26"/>
        <v>Medium</v>
      </c>
      <c r="M441" t="str">
        <f t="shared" si="27"/>
        <v>Low Risk</v>
      </c>
    </row>
    <row r="442" spans="1:13" x14ac:dyDescent="0.3">
      <c r="A442">
        <v>39</v>
      </c>
      <c r="B442" t="s">
        <v>1010</v>
      </c>
      <c r="C442">
        <v>3</v>
      </c>
      <c r="D442" t="s">
        <v>1016</v>
      </c>
      <c r="E442" t="s">
        <v>1012</v>
      </c>
      <c r="F442" t="s">
        <v>1011</v>
      </c>
      <c r="G442" s="5">
        <v>1884</v>
      </c>
      <c r="H442">
        <v>12</v>
      </c>
      <c r="I442" t="s">
        <v>1019</v>
      </c>
      <c r="J442" t="str">
        <f t="shared" si="24"/>
        <v>Low Risk</v>
      </c>
      <c r="K442" t="str">
        <f t="shared" si="25"/>
        <v>Senior</v>
      </c>
      <c r="L442" t="str">
        <f t="shared" si="26"/>
        <v>Medium</v>
      </c>
      <c r="M442" t="str">
        <f t="shared" si="27"/>
        <v>Low Risk</v>
      </c>
    </row>
    <row r="443" spans="1:13" x14ac:dyDescent="0.3">
      <c r="A443">
        <v>30</v>
      </c>
      <c r="B443" t="s">
        <v>1009</v>
      </c>
      <c r="C443">
        <v>2</v>
      </c>
      <c r="D443" t="s">
        <v>1016</v>
      </c>
      <c r="E443" t="s">
        <v>1012</v>
      </c>
      <c r="F443" t="s">
        <v>1012</v>
      </c>
      <c r="G443" s="5">
        <v>1620</v>
      </c>
      <c r="H443">
        <v>12</v>
      </c>
      <c r="I443" t="s">
        <v>1022</v>
      </c>
      <c r="J443" t="str">
        <f t="shared" si="24"/>
        <v>Low Risk</v>
      </c>
      <c r="K443" t="str">
        <f t="shared" si="25"/>
        <v>Senior</v>
      </c>
      <c r="L443" t="str">
        <f t="shared" si="26"/>
        <v>Medium</v>
      </c>
      <c r="M443" t="str">
        <f t="shared" si="27"/>
        <v>Low Risk</v>
      </c>
    </row>
    <row r="444" spans="1:13" x14ac:dyDescent="0.3">
      <c r="A444">
        <v>29</v>
      </c>
      <c r="B444" t="s">
        <v>1010</v>
      </c>
      <c r="C444">
        <v>2</v>
      </c>
      <c r="D444" t="s">
        <v>1016</v>
      </c>
      <c r="E444" t="s">
        <v>1012</v>
      </c>
      <c r="F444" t="s">
        <v>1013</v>
      </c>
      <c r="G444" s="5">
        <v>2629</v>
      </c>
      <c r="H444">
        <v>20</v>
      </c>
      <c r="I444" t="s">
        <v>1025</v>
      </c>
      <c r="J444" t="str">
        <f t="shared" si="24"/>
        <v>Low Risk</v>
      </c>
      <c r="K444" t="str">
        <f t="shared" si="25"/>
        <v>Young</v>
      </c>
      <c r="L444" t="str">
        <f t="shared" si="26"/>
        <v>Medium</v>
      </c>
      <c r="M444" t="str">
        <f t="shared" si="27"/>
        <v>Low Risk</v>
      </c>
    </row>
    <row r="445" spans="1:13" x14ac:dyDescent="0.3">
      <c r="A445">
        <v>41</v>
      </c>
      <c r="B445" t="s">
        <v>1010</v>
      </c>
      <c r="C445">
        <v>1</v>
      </c>
      <c r="D445" t="s">
        <v>1016</v>
      </c>
      <c r="E445" t="s">
        <v>1012</v>
      </c>
      <c r="F445" t="s">
        <v>1011</v>
      </c>
      <c r="G445" s="5">
        <v>719</v>
      </c>
      <c r="H445">
        <v>12</v>
      </c>
      <c r="I445" t="s">
        <v>1021</v>
      </c>
      <c r="J445" t="str">
        <f t="shared" si="24"/>
        <v>Low Risk</v>
      </c>
      <c r="K445" t="str">
        <f t="shared" si="25"/>
        <v>Senior</v>
      </c>
      <c r="L445" t="str">
        <f t="shared" si="26"/>
        <v>Medium</v>
      </c>
      <c r="M445" t="str">
        <f t="shared" si="27"/>
        <v>Low Risk</v>
      </c>
    </row>
    <row r="446" spans="1:13" x14ac:dyDescent="0.3">
      <c r="A446">
        <v>30</v>
      </c>
      <c r="B446" t="s">
        <v>1009</v>
      </c>
      <c r="C446">
        <v>3</v>
      </c>
      <c r="D446" t="s">
        <v>1016</v>
      </c>
      <c r="E446" t="s">
        <v>1012</v>
      </c>
      <c r="F446" t="s">
        <v>1013</v>
      </c>
      <c r="G446" s="5">
        <v>5096</v>
      </c>
      <c r="H446">
        <v>48</v>
      </c>
      <c r="I446" t="s">
        <v>1022</v>
      </c>
      <c r="J446" t="str">
        <f t="shared" si="24"/>
        <v>High Risk</v>
      </c>
      <c r="K446" t="str">
        <f t="shared" si="25"/>
        <v>Senior</v>
      </c>
      <c r="L446" t="str">
        <f t="shared" si="26"/>
        <v>Long</v>
      </c>
      <c r="M446" t="str">
        <f t="shared" si="27"/>
        <v>Medium Risk</v>
      </c>
    </row>
    <row r="447" spans="1:13" x14ac:dyDescent="0.3">
      <c r="A447">
        <v>41</v>
      </c>
      <c r="B447" t="s">
        <v>1009</v>
      </c>
      <c r="C447">
        <v>1</v>
      </c>
      <c r="D447" t="s">
        <v>1017</v>
      </c>
      <c r="E447" t="s">
        <v>1011</v>
      </c>
      <c r="F447" t="s">
        <v>1011</v>
      </c>
      <c r="G447" s="5">
        <v>1244</v>
      </c>
      <c r="H447">
        <v>9</v>
      </c>
      <c r="I447" t="s">
        <v>1021</v>
      </c>
      <c r="J447" t="str">
        <f t="shared" si="24"/>
        <v>Low Risk</v>
      </c>
      <c r="K447" t="str">
        <f t="shared" si="25"/>
        <v>Senior</v>
      </c>
      <c r="L447" t="str">
        <f t="shared" si="26"/>
        <v>Short</v>
      </c>
      <c r="M447" t="str">
        <f t="shared" si="27"/>
        <v>Low Risk</v>
      </c>
    </row>
    <row r="448" spans="1:13" x14ac:dyDescent="0.3">
      <c r="A448">
        <v>34</v>
      </c>
      <c r="B448" t="s">
        <v>1009</v>
      </c>
      <c r="C448">
        <v>2</v>
      </c>
      <c r="D448" t="s">
        <v>1016</v>
      </c>
      <c r="E448" t="s">
        <v>1012</v>
      </c>
      <c r="F448" t="s">
        <v>1012</v>
      </c>
      <c r="G448" s="5">
        <v>1842</v>
      </c>
      <c r="H448">
        <v>36</v>
      </c>
      <c r="I448" t="s">
        <v>1019</v>
      </c>
      <c r="J448" t="str">
        <f t="shared" si="24"/>
        <v>Low Risk</v>
      </c>
      <c r="K448" t="str">
        <f t="shared" si="25"/>
        <v>Senior</v>
      </c>
      <c r="L448" t="str">
        <f t="shared" si="26"/>
        <v>Long</v>
      </c>
      <c r="M448" t="str">
        <f t="shared" si="27"/>
        <v>Low Risk</v>
      </c>
    </row>
    <row r="449" spans="1:13" x14ac:dyDescent="0.3">
      <c r="A449">
        <v>35</v>
      </c>
      <c r="B449" t="s">
        <v>1010</v>
      </c>
      <c r="C449">
        <v>2</v>
      </c>
      <c r="D449" t="s">
        <v>1016</v>
      </c>
      <c r="E449" t="s">
        <v>1012</v>
      </c>
      <c r="F449" t="s">
        <v>1013</v>
      </c>
      <c r="G449" s="5">
        <v>2576</v>
      </c>
      <c r="H449">
        <v>7</v>
      </c>
      <c r="I449" t="s">
        <v>1023</v>
      </c>
      <c r="J449" t="str">
        <f t="shared" si="24"/>
        <v>Low Risk</v>
      </c>
      <c r="K449" t="str">
        <f t="shared" si="25"/>
        <v>Senior</v>
      </c>
      <c r="L449" t="str">
        <f t="shared" si="26"/>
        <v>Short</v>
      </c>
      <c r="M449" t="str">
        <f t="shared" si="27"/>
        <v>Low Risk</v>
      </c>
    </row>
    <row r="450" spans="1:13" x14ac:dyDescent="0.3">
      <c r="A450">
        <v>55</v>
      </c>
      <c r="B450" t="s">
        <v>1009</v>
      </c>
      <c r="C450">
        <v>3</v>
      </c>
      <c r="D450" t="s">
        <v>1016</v>
      </c>
      <c r="E450" t="s">
        <v>1011</v>
      </c>
      <c r="F450" t="s">
        <v>1008</v>
      </c>
      <c r="G450" s="5">
        <v>1424</v>
      </c>
      <c r="H450">
        <v>12</v>
      </c>
      <c r="I450" t="s">
        <v>1022</v>
      </c>
      <c r="J450" t="str">
        <f t="shared" si="24"/>
        <v>Low Risk</v>
      </c>
      <c r="K450" t="str">
        <f t="shared" si="25"/>
        <v>Adult</v>
      </c>
      <c r="L450" t="str">
        <f t="shared" si="26"/>
        <v>Medium</v>
      </c>
      <c r="M450" t="str">
        <f t="shared" si="27"/>
        <v>Low Risk</v>
      </c>
    </row>
    <row r="451" spans="1:13" x14ac:dyDescent="0.3">
      <c r="A451">
        <v>61</v>
      </c>
      <c r="B451" t="s">
        <v>1010</v>
      </c>
      <c r="C451">
        <v>2</v>
      </c>
      <c r="D451" t="s">
        <v>1016</v>
      </c>
      <c r="E451" t="s">
        <v>1008</v>
      </c>
      <c r="F451" t="s">
        <v>1013</v>
      </c>
      <c r="G451" s="5">
        <v>1512</v>
      </c>
      <c r="H451">
        <v>15</v>
      </c>
      <c r="I451" t="s">
        <v>1024</v>
      </c>
      <c r="J451" t="str">
        <f t="shared" ref="J451:J514" si="28">IF(OR(G451&gt;7000,H451&gt;36),"High Risk",
IF(AND(G451&gt;4000,H451&gt;24),"Medium Risk",
"Low Risk"))</f>
        <v>Low Risk</v>
      </c>
      <c r="K451" t="str">
        <f t="shared" ref="K451:K514" si="29">IF(A451&lt;30,"Young",IF(A451&gt;50,"Adult","Senior"))</f>
        <v>Adult</v>
      </c>
      <c r="L451" t="str">
        <f t="shared" ref="L451:L514" si="30">IF(H451&lt;12,"Short",IF(H451&lt;36,"Medium","Long"))</f>
        <v>Medium</v>
      </c>
      <c r="M451" t="str">
        <f t="shared" ref="M451:M514" si="31">IF(G451&lt;3000,"Low Risk",IF(G451&lt;=6000,"Medium Risk","HighRisk"))</f>
        <v>Low Risk</v>
      </c>
    </row>
    <row r="452" spans="1:13" x14ac:dyDescent="0.3">
      <c r="A452">
        <v>30</v>
      </c>
      <c r="B452" t="s">
        <v>1010</v>
      </c>
      <c r="C452">
        <v>3</v>
      </c>
      <c r="D452" t="s">
        <v>1016</v>
      </c>
      <c r="E452" t="s">
        <v>1011</v>
      </c>
      <c r="F452" t="s">
        <v>1011</v>
      </c>
      <c r="G452" s="5">
        <v>11054</v>
      </c>
      <c r="H452">
        <v>36</v>
      </c>
      <c r="I452" t="s">
        <v>1019</v>
      </c>
      <c r="J452" t="str">
        <f t="shared" si="28"/>
        <v>High Risk</v>
      </c>
      <c r="K452" t="str">
        <f t="shared" si="29"/>
        <v>Senior</v>
      </c>
      <c r="L452" t="str">
        <f t="shared" si="30"/>
        <v>Long</v>
      </c>
      <c r="M452" t="str">
        <f t="shared" si="31"/>
        <v>HighRisk</v>
      </c>
    </row>
    <row r="453" spans="1:13" x14ac:dyDescent="0.3">
      <c r="A453">
        <v>29</v>
      </c>
      <c r="B453" t="s">
        <v>1009</v>
      </c>
      <c r="C453">
        <v>2</v>
      </c>
      <c r="D453" t="s">
        <v>1016</v>
      </c>
      <c r="E453" t="s">
        <v>1012</v>
      </c>
      <c r="F453" t="s">
        <v>1011</v>
      </c>
      <c r="G453" s="5">
        <v>518</v>
      </c>
      <c r="H453">
        <v>6</v>
      </c>
      <c r="I453" t="s">
        <v>1023</v>
      </c>
      <c r="J453" t="str">
        <f t="shared" si="28"/>
        <v>Low Risk</v>
      </c>
      <c r="K453" t="str">
        <f t="shared" si="29"/>
        <v>Young</v>
      </c>
      <c r="L453" t="str">
        <f t="shared" si="30"/>
        <v>Short</v>
      </c>
      <c r="M453" t="str">
        <f t="shared" si="31"/>
        <v>Low Risk</v>
      </c>
    </row>
    <row r="454" spans="1:13" x14ac:dyDescent="0.3">
      <c r="A454">
        <v>34</v>
      </c>
      <c r="B454" t="s">
        <v>1010</v>
      </c>
      <c r="C454">
        <v>2</v>
      </c>
      <c r="D454" t="s">
        <v>1016</v>
      </c>
      <c r="E454" t="s">
        <v>1012</v>
      </c>
      <c r="F454" t="s">
        <v>1011</v>
      </c>
      <c r="G454" s="5">
        <v>2759</v>
      </c>
      <c r="H454">
        <v>12</v>
      </c>
      <c r="I454" t="s">
        <v>1022</v>
      </c>
      <c r="J454" t="str">
        <f t="shared" si="28"/>
        <v>Low Risk</v>
      </c>
      <c r="K454" t="str">
        <f t="shared" si="29"/>
        <v>Senior</v>
      </c>
      <c r="L454" t="str">
        <f t="shared" si="30"/>
        <v>Medium</v>
      </c>
      <c r="M454" t="str">
        <f t="shared" si="31"/>
        <v>Low Risk</v>
      </c>
    </row>
    <row r="455" spans="1:13" x14ac:dyDescent="0.3">
      <c r="A455">
        <v>35</v>
      </c>
      <c r="B455" t="s">
        <v>1010</v>
      </c>
      <c r="C455">
        <v>3</v>
      </c>
      <c r="D455" t="s">
        <v>1016</v>
      </c>
      <c r="E455" t="s">
        <v>1012</v>
      </c>
      <c r="F455" t="s">
        <v>1011</v>
      </c>
      <c r="G455" s="5">
        <v>2670</v>
      </c>
      <c r="H455">
        <v>24</v>
      </c>
      <c r="I455" t="s">
        <v>1019</v>
      </c>
      <c r="J455" t="str">
        <f t="shared" si="28"/>
        <v>Low Risk</v>
      </c>
      <c r="K455" t="str">
        <f t="shared" si="29"/>
        <v>Senior</v>
      </c>
      <c r="L455" t="str">
        <f t="shared" si="30"/>
        <v>Medium</v>
      </c>
      <c r="M455" t="str">
        <f t="shared" si="31"/>
        <v>Low Risk</v>
      </c>
    </row>
    <row r="456" spans="1:13" x14ac:dyDescent="0.3">
      <c r="A456">
        <v>31</v>
      </c>
      <c r="B456" t="s">
        <v>1010</v>
      </c>
      <c r="C456">
        <v>2</v>
      </c>
      <c r="D456" t="s">
        <v>1016</v>
      </c>
      <c r="E456" t="s">
        <v>1012</v>
      </c>
      <c r="F456" t="s">
        <v>1012</v>
      </c>
      <c r="G456" s="5">
        <v>4817</v>
      </c>
      <c r="H456">
        <v>24</v>
      </c>
      <c r="I456" t="s">
        <v>1019</v>
      </c>
      <c r="J456" t="str">
        <f t="shared" si="28"/>
        <v>Low Risk</v>
      </c>
      <c r="K456" t="str">
        <f t="shared" si="29"/>
        <v>Senior</v>
      </c>
      <c r="L456" t="str">
        <f t="shared" si="30"/>
        <v>Medium</v>
      </c>
      <c r="M456" t="str">
        <f t="shared" si="31"/>
        <v>Medium Risk</v>
      </c>
    </row>
    <row r="457" spans="1:13" x14ac:dyDescent="0.3">
      <c r="A457">
        <v>29</v>
      </c>
      <c r="B457" t="s">
        <v>1009</v>
      </c>
      <c r="C457">
        <v>3</v>
      </c>
      <c r="D457" t="s">
        <v>1016</v>
      </c>
      <c r="E457" t="s">
        <v>1012</v>
      </c>
      <c r="F457" t="s">
        <v>1011</v>
      </c>
      <c r="G457" s="5">
        <v>2679</v>
      </c>
      <c r="H457">
        <v>24</v>
      </c>
      <c r="I457" t="s">
        <v>1019</v>
      </c>
      <c r="J457" t="str">
        <f t="shared" si="28"/>
        <v>Low Risk</v>
      </c>
      <c r="K457" t="str">
        <f t="shared" si="29"/>
        <v>Young</v>
      </c>
      <c r="L457" t="str">
        <f t="shared" si="30"/>
        <v>Medium</v>
      </c>
      <c r="M457" t="str">
        <f t="shared" si="31"/>
        <v>Low Risk</v>
      </c>
    </row>
    <row r="458" spans="1:13" x14ac:dyDescent="0.3">
      <c r="A458">
        <v>36</v>
      </c>
      <c r="B458" t="s">
        <v>1010</v>
      </c>
      <c r="C458">
        <v>2</v>
      </c>
      <c r="D458" t="s">
        <v>1017</v>
      </c>
      <c r="E458" t="s">
        <v>1012</v>
      </c>
      <c r="F458" t="s">
        <v>1012</v>
      </c>
      <c r="G458" s="5">
        <v>3905</v>
      </c>
      <c r="H458">
        <v>11</v>
      </c>
      <c r="I458" t="s">
        <v>1019</v>
      </c>
      <c r="J458" t="str">
        <f t="shared" si="28"/>
        <v>Low Risk</v>
      </c>
      <c r="K458" t="str">
        <f t="shared" si="29"/>
        <v>Senior</v>
      </c>
      <c r="L458" t="str">
        <f t="shared" si="30"/>
        <v>Short</v>
      </c>
      <c r="M458" t="str">
        <f t="shared" si="31"/>
        <v>Medium Risk</v>
      </c>
    </row>
    <row r="459" spans="1:13" x14ac:dyDescent="0.3">
      <c r="A459">
        <v>35</v>
      </c>
      <c r="B459" t="s">
        <v>1010</v>
      </c>
      <c r="C459">
        <v>2</v>
      </c>
      <c r="D459" t="s">
        <v>1015</v>
      </c>
      <c r="E459" t="s">
        <v>1012</v>
      </c>
      <c r="F459" t="s">
        <v>1012</v>
      </c>
      <c r="G459" s="5">
        <v>3386</v>
      </c>
      <c r="H459">
        <v>12</v>
      </c>
      <c r="I459" t="s">
        <v>1019</v>
      </c>
      <c r="J459" t="str">
        <f t="shared" si="28"/>
        <v>Low Risk</v>
      </c>
      <c r="K459" t="str">
        <f t="shared" si="29"/>
        <v>Senior</v>
      </c>
      <c r="L459" t="str">
        <f t="shared" si="30"/>
        <v>Medium</v>
      </c>
      <c r="M459" t="str">
        <f t="shared" si="31"/>
        <v>Medium Risk</v>
      </c>
    </row>
    <row r="460" spans="1:13" x14ac:dyDescent="0.3">
      <c r="A460">
        <v>27</v>
      </c>
      <c r="B460" t="s">
        <v>1009</v>
      </c>
      <c r="C460">
        <v>2</v>
      </c>
      <c r="D460" t="s">
        <v>1016</v>
      </c>
      <c r="E460" t="s">
        <v>1012</v>
      </c>
      <c r="F460" t="s">
        <v>1012</v>
      </c>
      <c r="G460" s="5">
        <v>343</v>
      </c>
      <c r="H460">
        <v>6</v>
      </c>
      <c r="I460" t="s">
        <v>1020</v>
      </c>
      <c r="J460" t="str">
        <f t="shared" si="28"/>
        <v>Low Risk</v>
      </c>
      <c r="K460" t="str">
        <f t="shared" si="29"/>
        <v>Young</v>
      </c>
      <c r="L460" t="str">
        <f t="shared" si="30"/>
        <v>Short</v>
      </c>
      <c r="M460" t="str">
        <f t="shared" si="31"/>
        <v>Low Risk</v>
      </c>
    </row>
    <row r="461" spans="1:13" x14ac:dyDescent="0.3">
      <c r="A461">
        <v>32</v>
      </c>
      <c r="B461" t="s">
        <v>1010</v>
      </c>
      <c r="C461">
        <v>2</v>
      </c>
      <c r="D461" t="s">
        <v>1016</v>
      </c>
      <c r="E461" t="s">
        <v>1012</v>
      </c>
      <c r="F461" t="s">
        <v>1011</v>
      </c>
      <c r="G461" s="5">
        <v>4594</v>
      </c>
      <c r="H461">
        <v>18</v>
      </c>
      <c r="I461" t="s">
        <v>1023</v>
      </c>
      <c r="J461" t="str">
        <f t="shared" si="28"/>
        <v>Low Risk</v>
      </c>
      <c r="K461" t="str">
        <f t="shared" si="29"/>
        <v>Senior</v>
      </c>
      <c r="L461" t="str">
        <f t="shared" si="30"/>
        <v>Medium</v>
      </c>
      <c r="M461" t="str">
        <f t="shared" si="31"/>
        <v>Medium Risk</v>
      </c>
    </row>
    <row r="462" spans="1:13" x14ac:dyDescent="0.3">
      <c r="A462">
        <v>37</v>
      </c>
      <c r="B462" t="s">
        <v>1010</v>
      </c>
      <c r="C462">
        <v>2</v>
      </c>
      <c r="D462" t="s">
        <v>1016</v>
      </c>
      <c r="E462" t="s">
        <v>1012</v>
      </c>
      <c r="F462" t="s">
        <v>1012</v>
      </c>
      <c r="G462" s="5">
        <v>3620</v>
      </c>
      <c r="H462">
        <v>36</v>
      </c>
      <c r="I462" t="s">
        <v>1022</v>
      </c>
      <c r="J462" t="str">
        <f t="shared" si="28"/>
        <v>Low Risk</v>
      </c>
      <c r="K462" t="str">
        <f t="shared" si="29"/>
        <v>Senior</v>
      </c>
      <c r="L462" t="str">
        <f t="shared" si="30"/>
        <v>Long</v>
      </c>
      <c r="M462" t="str">
        <f t="shared" si="31"/>
        <v>Medium Risk</v>
      </c>
    </row>
    <row r="463" spans="1:13" x14ac:dyDescent="0.3">
      <c r="A463">
        <v>36</v>
      </c>
      <c r="B463" t="s">
        <v>1010</v>
      </c>
      <c r="C463">
        <v>2</v>
      </c>
      <c r="D463" t="s">
        <v>1016</v>
      </c>
      <c r="E463" t="s">
        <v>1012</v>
      </c>
      <c r="F463" t="s">
        <v>1012</v>
      </c>
      <c r="G463" s="5">
        <v>1721</v>
      </c>
      <c r="H463">
        <v>15</v>
      </c>
      <c r="I463" t="s">
        <v>1019</v>
      </c>
      <c r="J463" t="str">
        <f t="shared" si="28"/>
        <v>Low Risk</v>
      </c>
      <c r="K463" t="str">
        <f t="shared" si="29"/>
        <v>Senior</v>
      </c>
      <c r="L463" t="str">
        <f t="shared" si="30"/>
        <v>Medium</v>
      </c>
      <c r="M463" t="str">
        <f t="shared" si="31"/>
        <v>Low Risk</v>
      </c>
    </row>
    <row r="464" spans="1:13" x14ac:dyDescent="0.3">
      <c r="A464">
        <v>34</v>
      </c>
      <c r="B464" t="s">
        <v>1009</v>
      </c>
      <c r="C464">
        <v>3</v>
      </c>
      <c r="D464" t="s">
        <v>1017</v>
      </c>
      <c r="E464" t="s">
        <v>1012</v>
      </c>
      <c r="F464" t="s">
        <v>1013</v>
      </c>
      <c r="G464" s="5">
        <v>3017</v>
      </c>
      <c r="H464">
        <v>12</v>
      </c>
      <c r="I464" t="s">
        <v>1022</v>
      </c>
      <c r="J464" t="str">
        <f t="shared" si="28"/>
        <v>Low Risk</v>
      </c>
      <c r="K464" t="str">
        <f t="shared" si="29"/>
        <v>Senior</v>
      </c>
      <c r="L464" t="str">
        <f t="shared" si="30"/>
        <v>Medium</v>
      </c>
      <c r="M464" t="str">
        <f t="shared" si="31"/>
        <v>Medium Risk</v>
      </c>
    </row>
    <row r="465" spans="1:13" x14ac:dyDescent="0.3">
      <c r="A465">
        <v>38</v>
      </c>
      <c r="B465" t="s">
        <v>1010</v>
      </c>
      <c r="C465">
        <v>2</v>
      </c>
      <c r="D465" t="s">
        <v>1016</v>
      </c>
      <c r="E465" t="s">
        <v>1011</v>
      </c>
      <c r="F465" t="s">
        <v>1013</v>
      </c>
      <c r="G465" s="5">
        <v>754</v>
      </c>
      <c r="H465">
        <v>12</v>
      </c>
      <c r="I465" t="s">
        <v>1021</v>
      </c>
      <c r="J465" t="str">
        <f t="shared" si="28"/>
        <v>Low Risk</v>
      </c>
      <c r="K465" t="str">
        <f t="shared" si="29"/>
        <v>Senior</v>
      </c>
      <c r="L465" t="str">
        <f t="shared" si="30"/>
        <v>Medium</v>
      </c>
      <c r="M465" t="str">
        <f t="shared" si="31"/>
        <v>Low Risk</v>
      </c>
    </row>
    <row r="466" spans="1:13" x14ac:dyDescent="0.3">
      <c r="A466">
        <v>34</v>
      </c>
      <c r="B466" t="s">
        <v>1010</v>
      </c>
      <c r="C466">
        <v>2</v>
      </c>
      <c r="D466" t="s">
        <v>1016</v>
      </c>
      <c r="E466" t="s">
        <v>1012</v>
      </c>
      <c r="F466" t="s">
        <v>1011</v>
      </c>
      <c r="G466" s="5">
        <v>1950</v>
      </c>
      <c r="H466">
        <v>18</v>
      </c>
      <c r="I466" t="s">
        <v>1018</v>
      </c>
      <c r="J466" t="str">
        <f t="shared" si="28"/>
        <v>Low Risk</v>
      </c>
      <c r="K466" t="str">
        <f t="shared" si="29"/>
        <v>Senior</v>
      </c>
      <c r="L466" t="str">
        <f t="shared" si="30"/>
        <v>Medium</v>
      </c>
      <c r="M466" t="str">
        <f t="shared" si="31"/>
        <v>Low Risk</v>
      </c>
    </row>
    <row r="467" spans="1:13" x14ac:dyDescent="0.3">
      <c r="A467">
        <v>63</v>
      </c>
      <c r="B467" t="s">
        <v>1010</v>
      </c>
      <c r="C467">
        <v>2</v>
      </c>
      <c r="D467" t="s">
        <v>1016</v>
      </c>
      <c r="E467" t="s">
        <v>1012</v>
      </c>
      <c r="F467" t="s">
        <v>1012</v>
      </c>
      <c r="G467" s="5">
        <v>2924</v>
      </c>
      <c r="H467">
        <v>24</v>
      </c>
      <c r="I467" t="s">
        <v>1019</v>
      </c>
      <c r="J467" t="str">
        <f t="shared" si="28"/>
        <v>Low Risk</v>
      </c>
      <c r="K467" t="str">
        <f t="shared" si="29"/>
        <v>Adult</v>
      </c>
      <c r="L467" t="str">
        <f t="shared" si="30"/>
        <v>Medium</v>
      </c>
      <c r="M467" t="str">
        <f t="shared" si="31"/>
        <v>Low Risk</v>
      </c>
    </row>
    <row r="468" spans="1:13" x14ac:dyDescent="0.3">
      <c r="A468">
        <v>29</v>
      </c>
      <c r="B468" t="s">
        <v>1009</v>
      </c>
      <c r="C468">
        <v>1</v>
      </c>
      <c r="D468" t="s">
        <v>1017</v>
      </c>
      <c r="E468" t="s">
        <v>1012</v>
      </c>
      <c r="F468" t="s">
        <v>1012</v>
      </c>
      <c r="G468" s="5">
        <v>1659</v>
      </c>
      <c r="H468">
        <v>24</v>
      </c>
      <c r="I468" t="s">
        <v>1023</v>
      </c>
      <c r="J468" t="str">
        <f t="shared" si="28"/>
        <v>Low Risk</v>
      </c>
      <c r="K468" t="str">
        <f t="shared" si="29"/>
        <v>Young</v>
      </c>
      <c r="L468" t="str">
        <f t="shared" si="30"/>
        <v>Medium</v>
      </c>
      <c r="M468" t="str">
        <f t="shared" si="31"/>
        <v>Low Risk</v>
      </c>
    </row>
    <row r="469" spans="1:13" x14ac:dyDescent="0.3">
      <c r="A469">
        <v>32</v>
      </c>
      <c r="B469" t="s">
        <v>1010</v>
      </c>
      <c r="C469">
        <v>2</v>
      </c>
      <c r="D469" t="s">
        <v>1016</v>
      </c>
      <c r="E469" t="s">
        <v>1011</v>
      </c>
      <c r="F469" t="s">
        <v>1011</v>
      </c>
      <c r="G469" s="5">
        <v>7238</v>
      </c>
      <c r="H469">
        <v>48</v>
      </c>
      <c r="I469" t="s">
        <v>1023</v>
      </c>
      <c r="J469" t="str">
        <f t="shared" si="28"/>
        <v>High Risk</v>
      </c>
      <c r="K469" t="str">
        <f t="shared" si="29"/>
        <v>Senior</v>
      </c>
      <c r="L469" t="str">
        <f t="shared" si="30"/>
        <v>Long</v>
      </c>
      <c r="M469" t="str">
        <f t="shared" si="31"/>
        <v>HighRisk</v>
      </c>
    </row>
    <row r="470" spans="1:13" x14ac:dyDescent="0.3">
      <c r="A470">
        <v>26</v>
      </c>
      <c r="B470" t="s">
        <v>1009</v>
      </c>
      <c r="C470">
        <v>2</v>
      </c>
      <c r="D470" t="s">
        <v>1016</v>
      </c>
      <c r="E470" t="s">
        <v>1012</v>
      </c>
      <c r="F470" t="s">
        <v>1011</v>
      </c>
      <c r="G470" s="5">
        <v>2764</v>
      </c>
      <c r="H470">
        <v>33</v>
      </c>
      <c r="I470" t="s">
        <v>1018</v>
      </c>
      <c r="J470" t="str">
        <f t="shared" si="28"/>
        <v>Low Risk</v>
      </c>
      <c r="K470" t="str">
        <f t="shared" si="29"/>
        <v>Young</v>
      </c>
      <c r="L470" t="str">
        <f t="shared" si="30"/>
        <v>Medium</v>
      </c>
      <c r="M470" t="str">
        <f t="shared" si="31"/>
        <v>Low Risk</v>
      </c>
    </row>
    <row r="471" spans="1:13" x14ac:dyDescent="0.3">
      <c r="A471">
        <v>35</v>
      </c>
      <c r="B471" t="s">
        <v>1010</v>
      </c>
      <c r="C471">
        <v>1</v>
      </c>
      <c r="D471" t="s">
        <v>1016</v>
      </c>
      <c r="E471" t="s">
        <v>1012</v>
      </c>
      <c r="F471" t="s">
        <v>1011</v>
      </c>
      <c r="G471" s="5">
        <v>4679</v>
      </c>
      <c r="H471">
        <v>24</v>
      </c>
      <c r="I471" t="s">
        <v>1019</v>
      </c>
      <c r="J471" t="str">
        <f t="shared" si="28"/>
        <v>Low Risk</v>
      </c>
      <c r="K471" t="str">
        <f t="shared" si="29"/>
        <v>Senior</v>
      </c>
      <c r="L471" t="str">
        <f t="shared" si="30"/>
        <v>Medium</v>
      </c>
      <c r="M471" t="str">
        <f t="shared" si="31"/>
        <v>Medium Risk</v>
      </c>
    </row>
    <row r="472" spans="1:13" x14ac:dyDescent="0.3">
      <c r="A472">
        <v>22</v>
      </c>
      <c r="B472" t="s">
        <v>1010</v>
      </c>
      <c r="C472">
        <v>2</v>
      </c>
      <c r="D472" t="s">
        <v>1017</v>
      </c>
      <c r="E472" t="s">
        <v>1013</v>
      </c>
      <c r="F472" t="s">
        <v>1013</v>
      </c>
      <c r="G472" s="5">
        <v>3092</v>
      </c>
      <c r="H472">
        <v>24</v>
      </c>
      <c r="I472" t="s">
        <v>1023</v>
      </c>
      <c r="J472" t="str">
        <f t="shared" si="28"/>
        <v>Low Risk</v>
      </c>
      <c r="K472" t="str">
        <f t="shared" si="29"/>
        <v>Young</v>
      </c>
      <c r="L472" t="str">
        <f t="shared" si="30"/>
        <v>Medium</v>
      </c>
      <c r="M472" t="str">
        <f t="shared" si="31"/>
        <v>Medium Risk</v>
      </c>
    </row>
    <row r="473" spans="1:13" x14ac:dyDescent="0.3">
      <c r="A473">
        <v>23</v>
      </c>
      <c r="B473" t="s">
        <v>1009</v>
      </c>
      <c r="C473">
        <v>2</v>
      </c>
      <c r="D473" t="s">
        <v>1016</v>
      </c>
      <c r="E473" t="s">
        <v>1012</v>
      </c>
      <c r="F473" t="s">
        <v>1012</v>
      </c>
      <c r="G473" s="5">
        <v>448</v>
      </c>
      <c r="H473">
        <v>6</v>
      </c>
      <c r="I473" t="s">
        <v>1021</v>
      </c>
      <c r="J473" t="str">
        <f t="shared" si="28"/>
        <v>Low Risk</v>
      </c>
      <c r="K473" t="str">
        <f t="shared" si="29"/>
        <v>Young</v>
      </c>
      <c r="L473" t="str">
        <f t="shared" si="30"/>
        <v>Short</v>
      </c>
      <c r="M473" t="str">
        <f t="shared" si="31"/>
        <v>Low Risk</v>
      </c>
    </row>
    <row r="474" spans="1:13" x14ac:dyDescent="0.3">
      <c r="A474">
        <v>28</v>
      </c>
      <c r="B474" t="s">
        <v>1010</v>
      </c>
      <c r="C474">
        <v>1</v>
      </c>
      <c r="D474" t="s">
        <v>1016</v>
      </c>
      <c r="E474" t="s">
        <v>1012</v>
      </c>
      <c r="F474" t="s">
        <v>1012</v>
      </c>
      <c r="G474" s="5">
        <v>654</v>
      </c>
      <c r="H474">
        <v>9</v>
      </c>
      <c r="I474" t="s">
        <v>1019</v>
      </c>
      <c r="J474" t="str">
        <f t="shared" si="28"/>
        <v>Low Risk</v>
      </c>
      <c r="K474" t="str">
        <f t="shared" si="29"/>
        <v>Young</v>
      </c>
      <c r="L474" t="str">
        <f t="shared" si="30"/>
        <v>Short</v>
      </c>
      <c r="M474" t="str">
        <f t="shared" si="31"/>
        <v>Low Risk</v>
      </c>
    </row>
    <row r="475" spans="1:13" x14ac:dyDescent="0.3">
      <c r="A475">
        <v>36</v>
      </c>
      <c r="B475" t="s">
        <v>1010</v>
      </c>
      <c r="C475">
        <v>3</v>
      </c>
      <c r="D475" t="s">
        <v>1016</v>
      </c>
      <c r="E475" t="s">
        <v>1011</v>
      </c>
      <c r="F475" t="s">
        <v>1011</v>
      </c>
      <c r="G475" s="5">
        <v>1238</v>
      </c>
      <c r="H475">
        <v>6</v>
      </c>
      <c r="I475" t="s">
        <v>1021</v>
      </c>
      <c r="J475" t="str">
        <f t="shared" si="28"/>
        <v>Low Risk</v>
      </c>
      <c r="K475" t="str">
        <f t="shared" si="29"/>
        <v>Senior</v>
      </c>
      <c r="L475" t="str">
        <f t="shared" si="30"/>
        <v>Short</v>
      </c>
      <c r="M475" t="str">
        <f t="shared" si="31"/>
        <v>Low Risk</v>
      </c>
    </row>
    <row r="476" spans="1:13" x14ac:dyDescent="0.3">
      <c r="A476">
        <v>33</v>
      </c>
      <c r="B476" t="s">
        <v>1010</v>
      </c>
      <c r="C476">
        <v>2</v>
      </c>
      <c r="D476" t="s">
        <v>1016</v>
      </c>
      <c r="E476" t="s">
        <v>1012</v>
      </c>
      <c r="F476" t="s">
        <v>1013</v>
      </c>
      <c r="G476" s="5">
        <v>1245</v>
      </c>
      <c r="H476">
        <v>18</v>
      </c>
      <c r="I476" t="s">
        <v>1023</v>
      </c>
      <c r="J476" t="str">
        <f t="shared" si="28"/>
        <v>Low Risk</v>
      </c>
      <c r="K476" t="str">
        <f t="shared" si="29"/>
        <v>Senior</v>
      </c>
      <c r="L476" t="str">
        <f t="shared" si="30"/>
        <v>Medium</v>
      </c>
      <c r="M476" t="str">
        <f t="shared" si="31"/>
        <v>Low Risk</v>
      </c>
    </row>
    <row r="477" spans="1:13" x14ac:dyDescent="0.3">
      <c r="A477">
        <v>26</v>
      </c>
      <c r="B477" t="s">
        <v>1009</v>
      </c>
      <c r="C477">
        <v>2</v>
      </c>
      <c r="D477" t="s">
        <v>1017</v>
      </c>
      <c r="E477" t="s">
        <v>1012</v>
      </c>
      <c r="F477" t="s">
        <v>1012</v>
      </c>
      <c r="G477" s="5">
        <v>3114</v>
      </c>
      <c r="H477">
        <v>18</v>
      </c>
      <c r="I477" t="s">
        <v>1022</v>
      </c>
      <c r="J477" t="str">
        <f t="shared" si="28"/>
        <v>Low Risk</v>
      </c>
      <c r="K477" t="str">
        <f t="shared" si="29"/>
        <v>Young</v>
      </c>
      <c r="L477" t="str">
        <f t="shared" si="30"/>
        <v>Medium</v>
      </c>
      <c r="M477" t="str">
        <f t="shared" si="31"/>
        <v>Medium Risk</v>
      </c>
    </row>
    <row r="478" spans="1:13" x14ac:dyDescent="0.3">
      <c r="A478">
        <v>24</v>
      </c>
      <c r="B478" t="s">
        <v>1010</v>
      </c>
      <c r="C478">
        <v>2</v>
      </c>
      <c r="D478" t="s">
        <v>1016</v>
      </c>
      <c r="E478" t="s">
        <v>1014</v>
      </c>
      <c r="F478" t="s">
        <v>1011</v>
      </c>
      <c r="G478" s="5">
        <v>2569</v>
      </c>
      <c r="H478">
        <v>39</v>
      </c>
      <c r="I478" t="s">
        <v>1019</v>
      </c>
      <c r="J478" t="str">
        <f t="shared" si="28"/>
        <v>High Risk</v>
      </c>
      <c r="K478" t="str">
        <f t="shared" si="29"/>
        <v>Young</v>
      </c>
      <c r="L478" t="str">
        <f t="shared" si="30"/>
        <v>Long</v>
      </c>
      <c r="M478" t="str">
        <f t="shared" si="31"/>
        <v>Low Risk</v>
      </c>
    </row>
    <row r="479" spans="1:13" x14ac:dyDescent="0.3">
      <c r="A479">
        <v>25</v>
      </c>
      <c r="B479" t="s">
        <v>1010</v>
      </c>
      <c r="C479">
        <v>2</v>
      </c>
      <c r="D479" t="s">
        <v>1016</v>
      </c>
      <c r="E479" t="s">
        <v>1012</v>
      </c>
      <c r="F479" t="s">
        <v>1008</v>
      </c>
      <c r="G479" s="5">
        <v>5152</v>
      </c>
      <c r="H479">
        <v>24</v>
      </c>
      <c r="I479" t="s">
        <v>1023</v>
      </c>
      <c r="J479" t="str">
        <f t="shared" si="28"/>
        <v>Low Risk</v>
      </c>
      <c r="K479" t="str">
        <f t="shared" si="29"/>
        <v>Young</v>
      </c>
      <c r="L479" t="str">
        <f t="shared" si="30"/>
        <v>Medium</v>
      </c>
      <c r="M479" t="str">
        <f t="shared" si="31"/>
        <v>Medium Risk</v>
      </c>
    </row>
    <row r="480" spans="1:13" x14ac:dyDescent="0.3">
      <c r="A480">
        <v>39</v>
      </c>
      <c r="B480" t="s">
        <v>1010</v>
      </c>
      <c r="C480">
        <v>1</v>
      </c>
      <c r="D480" t="s">
        <v>1016</v>
      </c>
      <c r="E480" t="s">
        <v>1013</v>
      </c>
      <c r="F480" t="s">
        <v>1013</v>
      </c>
      <c r="G480" s="5">
        <v>1037</v>
      </c>
      <c r="H480">
        <v>12</v>
      </c>
      <c r="I480" t="s">
        <v>1018</v>
      </c>
      <c r="J480" t="str">
        <f t="shared" si="28"/>
        <v>Low Risk</v>
      </c>
      <c r="K480" t="str">
        <f t="shared" si="29"/>
        <v>Senior</v>
      </c>
      <c r="L480" t="str">
        <f t="shared" si="30"/>
        <v>Medium</v>
      </c>
      <c r="M480" t="str">
        <f t="shared" si="31"/>
        <v>Low Risk</v>
      </c>
    </row>
    <row r="481" spans="1:13" x14ac:dyDescent="0.3">
      <c r="A481">
        <v>44</v>
      </c>
      <c r="B481" t="s">
        <v>1010</v>
      </c>
      <c r="C481">
        <v>2</v>
      </c>
      <c r="D481" t="s">
        <v>1016</v>
      </c>
      <c r="E481" t="s">
        <v>1012</v>
      </c>
      <c r="F481" t="s">
        <v>1012</v>
      </c>
      <c r="G481" s="5">
        <v>1478</v>
      </c>
      <c r="H481">
        <v>15</v>
      </c>
      <c r="I481" t="s">
        <v>1022</v>
      </c>
      <c r="J481" t="str">
        <f t="shared" si="28"/>
        <v>Low Risk</v>
      </c>
      <c r="K481" t="str">
        <f t="shared" si="29"/>
        <v>Senior</v>
      </c>
      <c r="L481" t="str">
        <f t="shared" si="30"/>
        <v>Medium</v>
      </c>
      <c r="M481" t="str">
        <f t="shared" si="31"/>
        <v>Low Risk</v>
      </c>
    </row>
    <row r="482" spans="1:13" x14ac:dyDescent="0.3">
      <c r="A482">
        <v>23</v>
      </c>
      <c r="B482" t="s">
        <v>1009</v>
      </c>
      <c r="C482">
        <v>1</v>
      </c>
      <c r="D482" t="s">
        <v>1016</v>
      </c>
      <c r="E482" t="s">
        <v>1012</v>
      </c>
      <c r="F482" t="s">
        <v>1013</v>
      </c>
      <c r="G482" s="5">
        <v>3573</v>
      </c>
      <c r="H482">
        <v>12</v>
      </c>
      <c r="I482" t="s">
        <v>1023</v>
      </c>
      <c r="J482" t="str">
        <f t="shared" si="28"/>
        <v>Low Risk</v>
      </c>
      <c r="K482" t="str">
        <f t="shared" si="29"/>
        <v>Young</v>
      </c>
      <c r="L482" t="str">
        <f t="shared" si="30"/>
        <v>Medium</v>
      </c>
      <c r="M482" t="str">
        <f t="shared" si="31"/>
        <v>Medium Risk</v>
      </c>
    </row>
    <row r="483" spans="1:13" x14ac:dyDescent="0.3">
      <c r="A483">
        <v>26</v>
      </c>
      <c r="B483" t="s">
        <v>1010</v>
      </c>
      <c r="C483">
        <v>2</v>
      </c>
      <c r="D483" t="s">
        <v>1016</v>
      </c>
      <c r="E483" t="s">
        <v>1012</v>
      </c>
      <c r="F483" t="s">
        <v>1013</v>
      </c>
      <c r="G483" s="5">
        <v>1201</v>
      </c>
      <c r="H483">
        <v>24</v>
      </c>
      <c r="I483" t="s">
        <v>1019</v>
      </c>
      <c r="J483" t="str">
        <f t="shared" si="28"/>
        <v>Low Risk</v>
      </c>
      <c r="K483" t="str">
        <f t="shared" si="29"/>
        <v>Young</v>
      </c>
      <c r="L483" t="str">
        <f t="shared" si="30"/>
        <v>Medium</v>
      </c>
      <c r="M483" t="str">
        <f t="shared" si="31"/>
        <v>Low Risk</v>
      </c>
    </row>
    <row r="484" spans="1:13" x14ac:dyDescent="0.3">
      <c r="A484">
        <v>57</v>
      </c>
      <c r="B484" t="s">
        <v>1009</v>
      </c>
      <c r="C484">
        <v>2</v>
      </c>
      <c r="D484" t="s">
        <v>1017</v>
      </c>
      <c r="E484" t="s">
        <v>1008</v>
      </c>
      <c r="F484" t="s">
        <v>1012</v>
      </c>
      <c r="G484" s="5">
        <v>3622</v>
      </c>
      <c r="H484">
        <v>30</v>
      </c>
      <c r="I484" t="s">
        <v>1022</v>
      </c>
      <c r="J484" t="str">
        <f t="shared" si="28"/>
        <v>Low Risk</v>
      </c>
      <c r="K484" t="str">
        <f t="shared" si="29"/>
        <v>Adult</v>
      </c>
      <c r="L484" t="str">
        <f t="shared" si="30"/>
        <v>Medium</v>
      </c>
      <c r="M484" t="str">
        <f t="shared" si="31"/>
        <v>Medium Risk</v>
      </c>
    </row>
    <row r="485" spans="1:13" x14ac:dyDescent="0.3">
      <c r="A485">
        <v>30</v>
      </c>
      <c r="B485" t="s">
        <v>1009</v>
      </c>
      <c r="C485">
        <v>2</v>
      </c>
      <c r="D485" t="s">
        <v>1016</v>
      </c>
      <c r="E485" t="s">
        <v>1008</v>
      </c>
      <c r="F485" t="s">
        <v>1011</v>
      </c>
      <c r="G485" s="5">
        <v>960</v>
      </c>
      <c r="H485">
        <v>15</v>
      </c>
      <c r="I485" t="s">
        <v>1022</v>
      </c>
      <c r="J485" t="str">
        <f t="shared" si="28"/>
        <v>Low Risk</v>
      </c>
      <c r="K485" t="str">
        <f t="shared" si="29"/>
        <v>Senior</v>
      </c>
      <c r="L485" t="str">
        <f t="shared" si="30"/>
        <v>Medium</v>
      </c>
      <c r="M485" t="str">
        <f t="shared" si="31"/>
        <v>Low Risk</v>
      </c>
    </row>
    <row r="486" spans="1:13" x14ac:dyDescent="0.3">
      <c r="A486">
        <v>44</v>
      </c>
      <c r="B486" t="s">
        <v>1010</v>
      </c>
      <c r="C486">
        <v>2</v>
      </c>
      <c r="D486" t="s">
        <v>1016</v>
      </c>
      <c r="E486" t="s">
        <v>1014</v>
      </c>
      <c r="F486" t="s">
        <v>1011</v>
      </c>
      <c r="G486" s="5">
        <v>1163</v>
      </c>
      <c r="H486">
        <v>12</v>
      </c>
      <c r="I486" t="s">
        <v>1019</v>
      </c>
      <c r="J486" t="str">
        <f t="shared" si="28"/>
        <v>Low Risk</v>
      </c>
      <c r="K486" t="str">
        <f t="shared" si="29"/>
        <v>Senior</v>
      </c>
      <c r="L486" t="str">
        <f t="shared" si="30"/>
        <v>Medium</v>
      </c>
      <c r="M486" t="str">
        <f t="shared" si="31"/>
        <v>Low Risk</v>
      </c>
    </row>
    <row r="487" spans="1:13" x14ac:dyDescent="0.3">
      <c r="A487">
        <v>47</v>
      </c>
      <c r="B487" t="s">
        <v>1010</v>
      </c>
      <c r="C487">
        <v>3</v>
      </c>
      <c r="D487" t="s">
        <v>1016</v>
      </c>
      <c r="E487" t="s">
        <v>1012</v>
      </c>
      <c r="F487" t="s">
        <v>1013</v>
      </c>
      <c r="G487" s="5">
        <v>1209</v>
      </c>
      <c r="H487">
        <v>6</v>
      </c>
      <c r="I487" t="s">
        <v>1019</v>
      </c>
      <c r="J487" t="str">
        <f t="shared" si="28"/>
        <v>Low Risk</v>
      </c>
      <c r="K487" t="str">
        <f t="shared" si="29"/>
        <v>Senior</v>
      </c>
      <c r="L487" t="str">
        <f t="shared" si="30"/>
        <v>Short</v>
      </c>
      <c r="M487" t="str">
        <f t="shared" si="31"/>
        <v>Low Risk</v>
      </c>
    </row>
    <row r="488" spans="1:13" x14ac:dyDescent="0.3">
      <c r="A488">
        <v>52</v>
      </c>
      <c r="B488" t="s">
        <v>1010</v>
      </c>
      <c r="C488">
        <v>2</v>
      </c>
      <c r="D488" t="s">
        <v>1016</v>
      </c>
      <c r="E488" t="s">
        <v>1012</v>
      </c>
      <c r="F488" t="s">
        <v>1011</v>
      </c>
      <c r="G488" s="5">
        <v>3077</v>
      </c>
      <c r="H488">
        <v>12</v>
      </c>
      <c r="I488" t="s">
        <v>1023</v>
      </c>
      <c r="J488" t="str">
        <f t="shared" si="28"/>
        <v>Low Risk</v>
      </c>
      <c r="K488" t="str">
        <f t="shared" si="29"/>
        <v>Adult</v>
      </c>
      <c r="L488" t="str">
        <f t="shared" si="30"/>
        <v>Medium</v>
      </c>
      <c r="M488" t="str">
        <f t="shared" si="31"/>
        <v>Medium Risk</v>
      </c>
    </row>
    <row r="489" spans="1:13" x14ac:dyDescent="0.3">
      <c r="A489">
        <v>62</v>
      </c>
      <c r="B489" t="s">
        <v>1009</v>
      </c>
      <c r="C489">
        <v>2</v>
      </c>
      <c r="D489" t="s">
        <v>1015</v>
      </c>
      <c r="E489" t="s">
        <v>1012</v>
      </c>
      <c r="F489" t="s">
        <v>1011</v>
      </c>
      <c r="G489" s="5">
        <v>3757</v>
      </c>
      <c r="H489">
        <v>24</v>
      </c>
      <c r="I489" t="s">
        <v>1019</v>
      </c>
      <c r="J489" t="str">
        <f t="shared" si="28"/>
        <v>Low Risk</v>
      </c>
      <c r="K489" t="str">
        <f t="shared" si="29"/>
        <v>Adult</v>
      </c>
      <c r="L489" t="str">
        <f t="shared" si="30"/>
        <v>Medium</v>
      </c>
      <c r="M489" t="str">
        <f t="shared" si="31"/>
        <v>Medium Risk</v>
      </c>
    </row>
    <row r="490" spans="1:13" x14ac:dyDescent="0.3">
      <c r="A490">
        <v>35</v>
      </c>
      <c r="B490" t="s">
        <v>1010</v>
      </c>
      <c r="C490">
        <v>1</v>
      </c>
      <c r="D490" t="s">
        <v>1017</v>
      </c>
      <c r="E490" t="s">
        <v>1013</v>
      </c>
      <c r="F490" t="s">
        <v>1011</v>
      </c>
      <c r="G490" s="5">
        <v>1418</v>
      </c>
      <c r="H490">
        <v>10</v>
      </c>
      <c r="I490" t="s">
        <v>1019</v>
      </c>
      <c r="J490" t="str">
        <f t="shared" si="28"/>
        <v>Low Risk</v>
      </c>
      <c r="K490" t="str">
        <f t="shared" si="29"/>
        <v>Senior</v>
      </c>
      <c r="L490" t="str">
        <f t="shared" si="30"/>
        <v>Short</v>
      </c>
      <c r="M490" t="str">
        <f t="shared" si="31"/>
        <v>Low Risk</v>
      </c>
    </row>
    <row r="491" spans="1:13" x14ac:dyDescent="0.3">
      <c r="A491">
        <v>26</v>
      </c>
      <c r="B491" t="s">
        <v>1010</v>
      </c>
      <c r="C491">
        <v>2</v>
      </c>
      <c r="D491" t="s">
        <v>1017</v>
      </c>
      <c r="E491" t="s">
        <v>1012</v>
      </c>
      <c r="F491" t="s">
        <v>1011</v>
      </c>
      <c r="G491" s="5">
        <v>3518</v>
      </c>
      <c r="H491">
        <v>6</v>
      </c>
      <c r="I491" t="s">
        <v>1019</v>
      </c>
      <c r="J491" t="str">
        <f t="shared" si="28"/>
        <v>Low Risk</v>
      </c>
      <c r="K491" t="str">
        <f t="shared" si="29"/>
        <v>Young</v>
      </c>
      <c r="L491" t="str">
        <f t="shared" si="30"/>
        <v>Short</v>
      </c>
      <c r="M491" t="str">
        <f t="shared" si="31"/>
        <v>Medium Risk</v>
      </c>
    </row>
    <row r="492" spans="1:13" x14ac:dyDescent="0.3">
      <c r="A492">
        <v>26</v>
      </c>
      <c r="B492" t="s">
        <v>1010</v>
      </c>
      <c r="C492">
        <v>2</v>
      </c>
      <c r="D492" t="s">
        <v>1016</v>
      </c>
      <c r="E492" t="s">
        <v>1012</v>
      </c>
      <c r="F492" t="s">
        <v>1011</v>
      </c>
      <c r="G492" s="5">
        <v>1934</v>
      </c>
      <c r="H492">
        <v>12</v>
      </c>
      <c r="I492" t="s">
        <v>1023</v>
      </c>
      <c r="J492" t="str">
        <f t="shared" si="28"/>
        <v>Low Risk</v>
      </c>
      <c r="K492" t="str">
        <f t="shared" si="29"/>
        <v>Young</v>
      </c>
      <c r="L492" t="str">
        <f t="shared" si="30"/>
        <v>Medium</v>
      </c>
      <c r="M492" t="str">
        <f t="shared" si="31"/>
        <v>Low Risk</v>
      </c>
    </row>
    <row r="493" spans="1:13" x14ac:dyDescent="0.3">
      <c r="A493">
        <v>42</v>
      </c>
      <c r="B493" t="s">
        <v>1009</v>
      </c>
      <c r="C493">
        <v>3</v>
      </c>
      <c r="D493" t="s">
        <v>1015</v>
      </c>
      <c r="E493" t="s">
        <v>1012</v>
      </c>
      <c r="F493" t="s">
        <v>1013</v>
      </c>
      <c r="G493" s="5">
        <v>8318</v>
      </c>
      <c r="H493">
        <v>27</v>
      </c>
      <c r="I493" t="s">
        <v>1018</v>
      </c>
      <c r="J493" t="str">
        <f t="shared" si="28"/>
        <v>High Risk</v>
      </c>
      <c r="K493" t="str">
        <f t="shared" si="29"/>
        <v>Senior</v>
      </c>
      <c r="L493" t="str">
        <f t="shared" si="30"/>
        <v>Medium</v>
      </c>
      <c r="M493" t="str">
        <f t="shared" si="31"/>
        <v>HighRisk</v>
      </c>
    </row>
    <row r="494" spans="1:13" x14ac:dyDescent="0.3">
      <c r="A494">
        <v>27</v>
      </c>
      <c r="B494" t="s">
        <v>1009</v>
      </c>
      <c r="C494">
        <v>2</v>
      </c>
      <c r="D494" t="s">
        <v>1016</v>
      </c>
      <c r="E494" t="s">
        <v>1013</v>
      </c>
      <c r="F494" t="s">
        <v>1011</v>
      </c>
      <c r="G494" s="5">
        <v>1237</v>
      </c>
      <c r="H494">
        <v>6</v>
      </c>
      <c r="I494" t="s">
        <v>1023</v>
      </c>
      <c r="J494" t="str">
        <f t="shared" si="28"/>
        <v>Low Risk</v>
      </c>
      <c r="K494" t="str">
        <f t="shared" si="29"/>
        <v>Young</v>
      </c>
      <c r="L494" t="str">
        <f t="shared" si="30"/>
        <v>Short</v>
      </c>
      <c r="M494" t="str">
        <f t="shared" si="31"/>
        <v>Low Risk</v>
      </c>
    </row>
    <row r="495" spans="1:13" x14ac:dyDescent="0.3">
      <c r="A495">
        <v>38</v>
      </c>
      <c r="B495" t="s">
        <v>1010</v>
      </c>
      <c r="C495">
        <v>2</v>
      </c>
      <c r="D495" t="s">
        <v>1016</v>
      </c>
      <c r="E495" t="s">
        <v>1011</v>
      </c>
      <c r="F495" t="s">
        <v>1013</v>
      </c>
      <c r="G495" s="5">
        <v>368</v>
      </c>
      <c r="H495">
        <v>6</v>
      </c>
      <c r="I495" t="s">
        <v>1023</v>
      </c>
      <c r="J495" t="str">
        <f t="shared" si="28"/>
        <v>Low Risk</v>
      </c>
      <c r="K495" t="str">
        <f t="shared" si="29"/>
        <v>Senior</v>
      </c>
      <c r="L495" t="str">
        <f t="shared" si="30"/>
        <v>Short</v>
      </c>
      <c r="M495" t="str">
        <f t="shared" si="31"/>
        <v>Low Risk</v>
      </c>
    </row>
    <row r="496" spans="1:13" x14ac:dyDescent="0.3">
      <c r="A496">
        <v>39</v>
      </c>
      <c r="B496" t="s">
        <v>1010</v>
      </c>
      <c r="C496">
        <v>1</v>
      </c>
      <c r="D496" t="s">
        <v>1017</v>
      </c>
      <c r="E496" t="s">
        <v>1012</v>
      </c>
      <c r="F496" t="s">
        <v>1012</v>
      </c>
      <c r="G496" s="5">
        <v>2122</v>
      </c>
      <c r="H496">
        <v>12</v>
      </c>
      <c r="I496" t="s">
        <v>1019</v>
      </c>
      <c r="J496" t="str">
        <f t="shared" si="28"/>
        <v>Low Risk</v>
      </c>
      <c r="K496" t="str">
        <f t="shared" si="29"/>
        <v>Senior</v>
      </c>
      <c r="L496" t="str">
        <f t="shared" si="30"/>
        <v>Medium</v>
      </c>
      <c r="M496" t="str">
        <f t="shared" si="31"/>
        <v>Low Risk</v>
      </c>
    </row>
    <row r="497" spans="1:13" x14ac:dyDescent="0.3">
      <c r="A497">
        <v>20</v>
      </c>
      <c r="B497" t="s">
        <v>1010</v>
      </c>
      <c r="C497">
        <v>2</v>
      </c>
      <c r="D497" t="s">
        <v>1016</v>
      </c>
      <c r="E497" t="s">
        <v>1011</v>
      </c>
      <c r="F497" t="s">
        <v>1012</v>
      </c>
      <c r="G497" s="5">
        <v>2996</v>
      </c>
      <c r="H497">
        <v>24</v>
      </c>
      <c r="I497" t="s">
        <v>1022</v>
      </c>
      <c r="J497" t="str">
        <f t="shared" si="28"/>
        <v>Low Risk</v>
      </c>
      <c r="K497" t="str">
        <f t="shared" si="29"/>
        <v>Young</v>
      </c>
      <c r="L497" t="str">
        <f t="shared" si="30"/>
        <v>Medium</v>
      </c>
      <c r="M497" t="str">
        <f t="shared" si="31"/>
        <v>Low Risk</v>
      </c>
    </row>
    <row r="498" spans="1:13" x14ac:dyDescent="0.3">
      <c r="A498">
        <v>29</v>
      </c>
      <c r="B498" t="s">
        <v>1010</v>
      </c>
      <c r="C498">
        <v>3</v>
      </c>
      <c r="D498" t="s">
        <v>1017</v>
      </c>
      <c r="E498" t="s">
        <v>1013</v>
      </c>
      <c r="F498" t="s">
        <v>1013</v>
      </c>
      <c r="G498" s="5">
        <v>9034</v>
      </c>
      <c r="H498">
        <v>36</v>
      </c>
      <c r="I498" t="s">
        <v>1022</v>
      </c>
      <c r="J498" t="str">
        <f t="shared" si="28"/>
        <v>High Risk</v>
      </c>
      <c r="K498" t="str">
        <f t="shared" si="29"/>
        <v>Young</v>
      </c>
      <c r="L498" t="str">
        <f t="shared" si="30"/>
        <v>Long</v>
      </c>
      <c r="M498" t="str">
        <f t="shared" si="31"/>
        <v>HighRisk</v>
      </c>
    </row>
    <row r="499" spans="1:13" x14ac:dyDescent="0.3">
      <c r="A499">
        <v>40</v>
      </c>
      <c r="B499" t="s">
        <v>1010</v>
      </c>
      <c r="C499">
        <v>2</v>
      </c>
      <c r="D499" t="s">
        <v>1016</v>
      </c>
      <c r="E499" t="s">
        <v>1012</v>
      </c>
      <c r="F499" t="s">
        <v>1011</v>
      </c>
      <c r="G499" s="5">
        <v>1585</v>
      </c>
      <c r="H499">
        <v>24</v>
      </c>
      <c r="I499" t="s">
        <v>1022</v>
      </c>
      <c r="J499" t="str">
        <f t="shared" si="28"/>
        <v>Low Risk</v>
      </c>
      <c r="K499" t="str">
        <f t="shared" si="29"/>
        <v>Senior</v>
      </c>
      <c r="L499" t="str">
        <f t="shared" si="30"/>
        <v>Medium</v>
      </c>
      <c r="M499" t="str">
        <f t="shared" si="31"/>
        <v>Low Risk</v>
      </c>
    </row>
    <row r="500" spans="1:13" x14ac:dyDescent="0.3">
      <c r="A500">
        <v>32</v>
      </c>
      <c r="B500" t="s">
        <v>1010</v>
      </c>
      <c r="C500">
        <v>1</v>
      </c>
      <c r="D500" t="s">
        <v>1016</v>
      </c>
      <c r="E500" t="s">
        <v>1012</v>
      </c>
      <c r="F500" t="s">
        <v>1013</v>
      </c>
      <c r="G500" s="5">
        <v>1301</v>
      </c>
      <c r="H500">
        <v>18</v>
      </c>
      <c r="I500" t="s">
        <v>1023</v>
      </c>
      <c r="J500" t="str">
        <f t="shared" si="28"/>
        <v>Low Risk</v>
      </c>
      <c r="K500" t="str">
        <f t="shared" si="29"/>
        <v>Senior</v>
      </c>
      <c r="L500" t="str">
        <f t="shared" si="30"/>
        <v>Medium</v>
      </c>
      <c r="M500" t="str">
        <f t="shared" si="31"/>
        <v>Low Risk</v>
      </c>
    </row>
    <row r="501" spans="1:13" x14ac:dyDescent="0.3">
      <c r="A501">
        <v>28</v>
      </c>
      <c r="B501" t="s">
        <v>1010</v>
      </c>
      <c r="C501">
        <v>2</v>
      </c>
      <c r="D501" t="s">
        <v>1016</v>
      </c>
      <c r="E501" t="s">
        <v>1013</v>
      </c>
      <c r="F501" t="s">
        <v>1008</v>
      </c>
      <c r="G501" s="5">
        <v>1323</v>
      </c>
      <c r="H501">
        <v>6</v>
      </c>
      <c r="I501" t="s">
        <v>1019</v>
      </c>
      <c r="J501" t="str">
        <f t="shared" si="28"/>
        <v>Low Risk</v>
      </c>
      <c r="K501" t="str">
        <f t="shared" si="29"/>
        <v>Young</v>
      </c>
      <c r="L501" t="str">
        <f t="shared" si="30"/>
        <v>Short</v>
      </c>
      <c r="M501" t="str">
        <f t="shared" si="31"/>
        <v>Low Risk</v>
      </c>
    </row>
    <row r="502" spans="1:13" x14ac:dyDescent="0.3">
      <c r="A502">
        <v>27</v>
      </c>
      <c r="B502" t="s">
        <v>1009</v>
      </c>
      <c r="C502">
        <v>2</v>
      </c>
      <c r="D502" t="s">
        <v>1016</v>
      </c>
      <c r="E502" t="s">
        <v>1012</v>
      </c>
      <c r="F502" t="s">
        <v>1012</v>
      </c>
      <c r="G502" s="5">
        <v>3123</v>
      </c>
      <c r="H502">
        <v>24</v>
      </c>
      <c r="I502" t="s">
        <v>1019</v>
      </c>
      <c r="J502" t="str">
        <f t="shared" si="28"/>
        <v>Low Risk</v>
      </c>
      <c r="K502" t="str">
        <f t="shared" si="29"/>
        <v>Young</v>
      </c>
      <c r="L502" t="str">
        <f t="shared" si="30"/>
        <v>Medium</v>
      </c>
      <c r="M502" t="str">
        <f t="shared" si="31"/>
        <v>Medium Risk</v>
      </c>
    </row>
    <row r="503" spans="1:13" x14ac:dyDescent="0.3">
      <c r="A503">
        <v>42</v>
      </c>
      <c r="B503" t="s">
        <v>1010</v>
      </c>
      <c r="C503">
        <v>2</v>
      </c>
      <c r="D503" t="s">
        <v>1015</v>
      </c>
      <c r="E503" t="s">
        <v>1012</v>
      </c>
      <c r="F503" t="s">
        <v>1012</v>
      </c>
      <c r="G503" s="5">
        <v>5493</v>
      </c>
      <c r="H503">
        <v>36</v>
      </c>
      <c r="I503" t="s">
        <v>1019</v>
      </c>
      <c r="J503" t="str">
        <f t="shared" si="28"/>
        <v>Medium Risk</v>
      </c>
      <c r="K503" t="str">
        <f t="shared" si="29"/>
        <v>Senior</v>
      </c>
      <c r="L503" t="str">
        <f t="shared" si="30"/>
        <v>Long</v>
      </c>
      <c r="M503" t="str">
        <f t="shared" si="31"/>
        <v>Medium Risk</v>
      </c>
    </row>
    <row r="504" spans="1:13" x14ac:dyDescent="0.3">
      <c r="A504">
        <v>49</v>
      </c>
      <c r="B504" t="s">
        <v>1010</v>
      </c>
      <c r="C504">
        <v>2</v>
      </c>
      <c r="D504" t="s">
        <v>1016</v>
      </c>
      <c r="E504" t="s">
        <v>1013</v>
      </c>
      <c r="F504" t="s">
        <v>1008</v>
      </c>
      <c r="G504" s="5">
        <v>1126</v>
      </c>
      <c r="H504">
        <v>9</v>
      </c>
      <c r="I504" t="s">
        <v>1023</v>
      </c>
      <c r="J504" t="str">
        <f t="shared" si="28"/>
        <v>Low Risk</v>
      </c>
      <c r="K504" t="str">
        <f t="shared" si="29"/>
        <v>Senior</v>
      </c>
      <c r="L504" t="str">
        <f t="shared" si="30"/>
        <v>Short</v>
      </c>
      <c r="M504" t="str">
        <f t="shared" si="31"/>
        <v>Low Risk</v>
      </c>
    </row>
    <row r="505" spans="1:13" x14ac:dyDescent="0.3">
      <c r="A505">
        <v>38</v>
      </c>
      <c r="B505" t="s">
        <v>1010</v>
      </c>
      <c r="C505">
        <v>2</v>
      </c>
      <c r="D505" t="s">
        <v>1016</v>
      </c>
      <c r="E505" t="s">
        <v>1013</v>
      </c>
      <c r="F505" t="s">
        <v>1013</v>
      </c>
      <c r="G505" s="5">
        <v>1216</v>
      </c>
      <c r="H505">
        <v>24</v>
      </c>
      <c r="I505" t="s">
        <v>1023</v>
      </c>
      <c r="J505" t="str">
        <f t="shared" si="28"/>
        <v>Low Risk</v>
      </c>
      <c r="K505" t="str">
        <f t="shared" si="29"/>
        <v>Senior</v>
      </c>
      <c r="L505" t="str">
        <f t="shared" si="30"/>
        <v>Medium</v>
      </c>
      <c r="M505" t="str">
        <f t="shared" si="31"/>
        <v>Low Risk</v>
      </c>
    </row>
    <row r="506" spans="1:13" x14ac:dyDescent="0.3">
      <c r="A506">
        <v>24</v>
      </c>
      <c r="B506" t="s">
        <v>1009</v>
      </c>
      <c r="C506">
        <v>2</v>
      </c>
      <c r="D506" t="s">
        <v>1017</v>
      </c>
      <c r="E506" t="s">
        <v>1012</v>
      </c>
      <c r="F506" t="s">
        <v>1012</v>
      </c>
      <c r="G506" s="5">
        <v>1207</v>
      </c>
      <c r="H506">
        <v>24</v>
      </c>
      <c r="I506" t="s">
        <v>1019</v>
      </c>
      <c r="J506" t="str">
        <f t="shared" si="28"/>
        <v>Low Risk</v>
      </c>
      <c r="K506" t="str">
        <f t="shared" si="29"/>
        <v>Young</v>
      </c>
      <c r="L506" t="str">
        <f t="shared" si="30"/>
        <v>Medium</v>
      </c>
      <c r="M506" t="str">
        <f t="shared" si="31"/>
        <v>Low Risk</v>
      </c>
    </row>
    <row r="507" spans="1:13" x14ac:dyDescent="0.3">
      <c r="A507">
        <v>27</v>
      </c>
      <c r="B507" t="s">
        <v>1010</v>
      </c>
      <c r="C507">
        <v>1</v>
      </c>
      <c r="D507" t="s">
        <v>1016</v>
      </c>
      <c r="E507" t="s">
        <v>1011</v>
      </c>
      <c r="F507" t="s">
        <v>1011</v>
      </c>
      <c r="G507" s="5">
        <v>1309</v>
      </c>
      <c r="H507">
        <v>10</v>
      </c>
      <c r="I507" t="s">
        <v>1019</v>
      </c>
      <c r="J507" t="str">
        <f t="shared" si="28"/>
        <v>Low Risk</v>
      </c>
      <c r="K507" t="str">
        <f t="shared" si="29"/>
        <v>Young</v>
      </c>
      <c r="L507" t="str">
        <f t="shared" si="30"/>
        <v>Short</v>
      </c>
      <c r="M507" t="str">
        <f t="shared" si="31"/>
        <v>Low Risk</v>
      </c>
    </row>
    <row r="508" spans="1:13" x14ac:dyDescent="0.3">
      <c r="A508">
        <v>36</v>
      </c>
      <c r="B508" t="s">
        <v>1010</v>
      </c>
      <c r="C508">
        <v>2</v>
      </c>
      <c r="D508" t="s">
        <v>1016</v>
      </c>
      <c r="E508" t="s">
        <v>1014</v>
      </c>
      <c r="F508" t="s">
        <v>1008</v>
      </c>
      <c r="G508" s="5">
        <v>2360</v>
      </c>
      <c r="H508">
        <v>15</v>
      </c>
      <c r="I508" t="s">
        <v>1019</v>
      </c>
      <c r="J508" t="str">
        <f t="shared" si="28"/>
        <v>Low Risk</v>
      </c>
      <c r="K508" t="str">
        <f t="shared" si="29"/>
        <v>Senior</v>
      </c>
      <c r="L508" t="str">
        <f t="shared" si="30"/>
        <v>Medium</v>
      </c>
      <c r="M508" t="str">
        <f t="shared" si="31"/>
        <v>Low Risk</v>
      </c>
    </row>
    <row r="509" spans="1:13" x14ac:dyDescent="0.3">
      <c r="A509">
        <v>34</v>
      </c>
      <c r="B509" t="s">
        <v>1010</v>
      </c>
      <c r="C509">
        <v>3</v>
      </c>
      <c r="D509" t="s">
        <v>1016</v>
      </c>
      <c r="E509" t="s">
        <v>1013</v>
      </c>
      <c r="F509" t="s">
        <v>1013</v>
      </c>
      <c r="G509" s="5">
        <v>6850</v>
      </c>
      <c r="H509">
        <v>15</v>
      </c>
      <c r="I509" t="s">
        <v>1019</v>
      </c>
      <c r="J509" t="str">
        <f t="shared" si="28"/>
        <v>Low Risk</v>
      </c>
      <c r="K509" t="str">
        <f t="shared" si="29"/>
        <v>Senior</v>
      </c>
      <c r="L509" t="str">
        <f t="shared" si="30"/>
        <v>Medium</v>
      </c>
      <c r="M509" t="str">
        <f t="shared" si="31"/>
        <v>HighRisk</v>
      </c>
    </row>
    <row r="510" spans="1:13" x14ac:dyDescent="0.3">
      <c r="A510">
        <v>28</v>
      </c>
      <c r="B510" t="s">
        <v>1010</v>
      </c>
      <c r="C510">
        <v>2</v>
      </c>
      <c r="D510" t="s">
        <v>1016</v>
      </c>
      <c r="E510" t="s">
        <v>1012</v>
      </c>
      <c r="F510" t="s">
        <v>1011</v>
      </c>
      <c r="G510" s="5">
        <v>1413</v>
      </c>
      <c r="H510">
        <v>24</v>
      </c>
      <c r="I510" t="s">
        <v>1023</v>
      </c>
      <c r="J510" t="str">
        <f t="shared" si="28"/>
        <v>Low Risk</v>
      </c>
      <c r="K510" t="str">
        <f t="shared" si="29"/>
        <v>Young</v>
      </c>
      <c r="L510" t="str">
        <f t="shared" si="30"/>
        <v>Medium</v>
      </c>
      <c r="M510" t="str">
        <f t="shared" si="31"/>
        <v>Low Risk</v>
      </c>
    </row>
    <row r="511" spans="1:13" x14ac:dyDescent="0.3">
      <c r="A511">
        <v>45</v>
      </c>
      <c r="B511" t="s">
        <v>1010</v>
      </c>
      <c r="C511">
        <v>3</v>
      </c>
      <c r="D511" t="s">
        <v>1016</v>
      </c>
      <c r="E511" t="s">
        <v>1013</v>
      </c>
      <c r="F511" t="s">
        <v>1011</v>
      </c>
      <c r="G511" s="5">
        <v>8588</v>
      </c>
      <c r="H511">
        <v>39</v>
      </c>
      <c r="I511" t="s">
        <v>1019</v>
      </c>
      <c r="J511" t="str">
        <f t="shared" si="28"/>
        <v>High Risk</v>
      </c>
      <c r="K511" t="str">
        <f t="shared" si="29"/>
        <v>Senior</v>
      </c>
      <c r="L511" t="str">
        <f t="shared" si="30"/>
        <v>Long</v>
      </c>
      <c r="M511" t="str">
        <f t="shared" si="31"/>
        <v>HighRisk</v>
      </c>
    </row>
    <row r="512" spans="1:13" x14ac:dyDescent="0.3">
      <c r="A512">
        <v>26</v>
      </c>
      <c r="B512" t="s">
        <v>1010</v>
      </c>
      <c r="C512">
        <v>2</v>
      </c>
      <c r="D512" t="s">
        <v>1016</v>
      </c>
      <c r="E512" t="s">
        <v>1012</v>
      </c>
      <c r="F512" t="s">
        <v>1012</v>
      </c>
      <c r="G512" s="5">
        <v>759</v>
      </c>
      <c r="H512">
        <v>12</v>
      </c>
      <c r="I512" t="s">
        <v>1019</v>
      </c>
      <c r="J512" t="str">
        <f t="shared" si="28"/>
        <v>Low Risk</v>
      </c>
      <c r="K512" t="str">
        <f t="shared" si="29"/>
        <v>Young</v>
      </c>
      <c r="L512" t="str">
        <f t="shared" si="30"/>
        <v>Medium</v>
      </c>
      <c r="M512" t="str">
        <f t="shared" si="31"/>
        <v>Low Risk</v>
      </c>
    </row>
    <row r="513" spans="1:13" x14ac:dyDescent="0.3">
      <c r="A513">
        <v>32</v>
      </c>
      <c r="B513" t="s">
        <v>1010</v>
      </c>
      <c r="C513">
        <v>3</v>
      </c>
      <c r="D513" t="s">
        <v>1015</v>
      </c>
      <c r="E513" t="s">
        <v>1012</v>
      </c>
      <c r="F513" t="s">
        <v>1011</v>
      </c>
      <c r="G513" s="5">
        <v>4686</v>
      </c>
      <c r="H513">
        <v>36</v>
      </c>
      <c r="I513" t="s">
        <v>1019</v>
      </c>
      <c r="J513" t="str">
        <f t="shared" si="28"/>
        <v>Medium Risk</v>
      </c>
      <c r="K513" t="str">
        <f t="shared" si="29"/>
        <v>Senior</v>
      </c>
      <c r="L513" t="str">
        <f t="shared" si="30"/>
        <v>Long</v>
      </c>
      <c r="M513" t="str">
        <f t="shared" si="31"/>
        <v>Medium Risk</v>
      </c>
    </row>
    <row r="514" spans="1:13" x14ac:dyDescent="0.3">
      <c r="A514">
        <v>26</v>
      </c>
      <c r="B514" t="s">
        <v>1010</v>
      </c>
      <c r="C514">
        <v>2</v>
      </c>
      <c r="D514" t="s">
        <v>1017</v>
      </c>
      <c r="E514" t="s">
        <v>1012</v>
      </c>
      <c r="F514" t="s">
        <v>1008</v>
      </c>
      <c r="G514" s="5">
        <v>2687</v>
      </c>
      <c r="H514">
        <v>15</v>
      </c>
      <c r="I514" t="s">
        <v>1018</v>
      </c>
      <c r="J514" t="str">
        <f t="shared" si="28"/>
        <v>Low Risk</v>
      </c>
      <c r="K514" t="str">
        <f t="shared" si="29"/>
        <v>Young</v>
      </c>
      <c r="L514" t="str">
        <f t="shared" si="30"/>
        <v>Medium</v>
      </c>
      <c r="M514" t="str">
        <f t="shared" si="31"/>
        <v>Low Risk</v>
      </c>
    </row>
    <row r="515" spans="1:13" x14ac:dyDescent="0.3">
      <c r="A515">
        <v>20</v>
      </c>
      <c r="B515" t="s">
        <v>1010</v>
      </c>
      <c r="C515">
        <v>2</v>
      </c>
      <c r="D515" t="s">
        <v>1017</v>
      </c>
      <c r="E515" t="s">
        <v>1012</v>
      </c>
      <c r="F515" t="s">
        <v>1013</v>
      </c>
      <c r="G515" s="5">
        <v>585</v>
      </c>
      <c r="H515">
        <v>12</v>
      </c>
      <c r="I515" t="s">
        <v>1023</v>
      </c>
      <c r="J515" t="str">
        <f t="shared" ref="J515:J578" si="32">IF(OR(G515&gt;7000,H515&gt;36),"High Risk",
IF(AND(G515&gt;4000,H515&gt;24),"Medium Risk",
"Low Risk"))</f>
        <v>Low Risk</v>
      </c>
      <c r="K515" t="str">
        <f t="shared" ref="K515:K578" si="33">IF(A515&lt;30,"Young",IF(A515&gt;50,"Adult","Senior"))</f>
        <v>Young</v>
      </c>
      <c r="L515" t="str">
        <f t="shared" ref="L515:L578" si="34">IF(H515&lt;12,"Short",IF(H515&lt;36,"Medium","Long"))</f>
        <v>Medium</v>
      </c>
      <c r="M515" t="str">
        <f t="shared" ref="M515:M578" si="35">IF(G515&lt;3000,"Low Risk",IF(G515&lt;=6000,"Medium Risk","HighRisk"))</f>
        <v>Low Risk</v>
      </c>
    </row>
    <row r="516" spans="1:13" x14ac:dyDescent="0.3">
      <c r="A516">
        <v>54</v>
      </c>
      <c r="B516" t="s">
        <v>1010</v>
      </c>
      <c r="C516">
        <v>2</v>
      </c>
      <c r="D516" t="s">
        <v>1016</v>
      </c>
      <c r="E516" t="s">
        <v>1011</v>
      </c>
      <c r="F516" t="s">
        <v>1011</v>
      </c>
      <c r="G516" s="5">
        <v>2255</v>
      </c>
      <c r="H516">
        <v>24</v>
      </c>
      <c r="I516" t="s">
        <v>1019</v>
      </c>
      <c r="J516" t="str">
        <f t="shared" si="32"/>
        <v>Low Risk</v>
      </c>
      <c r="K516" t="str">
        <f t="shared" si="33"/>
        <v>Adult</v>
      </c>
      <c r="L516" t="str">
        <f t="shared" si="34"/>
        <v>Medium</v>
      </c>
      <c r="M516" t="str">
        <f t="shared" si="35"/>
        <v>Low Risk</v>
      </c>
    </row>
    <row r="517" spans="1:13" x14ac:dyDescent="0.3">
      <c r="A517">
        <v>37</v>
      </c>
      <c r="B517" t="s">
        <v>1009</v>
      </c>
      <c r="C517">
        <v>2</v>
      </c>
      <c r="D517" t="s">
        <v>1016</v>
      </c>
      <c r="E517" t="s">
        <v>1012</v>
      </c>
      <c r="F517" t="s">
        <v>1012</v>
      </c>
      <c r="G517" s="5">
        <v>609</v>
      </c>
      <c r="H517">
        <v>6</v>
      </c>
      <c r="I517" t="s">
        <v>1019</v>
      </c>
      <c r="J517" t="str">
        <f t="shared" si="32"/>
        <v>Low Risk</v>
      </c>
      <c r="K517" t="str">
        <f t="shared" si="33"/>
        <v>Senior</v>
      </c>
      <c r="L517" t="str">
        <f t="shared" si="34"/>
        <v>Short</v>
      </c>
      <c r="M517" t="str">
        <f t="shared" si="35"/>
        <v>Low Risk</v>
      </c>
    </row>
    <row r="518" spans="1:13" x14ac:dyDescent="0.3">
      <c r="A518">
        <v>40</v>
      </c>
      <c r="B518" t="s">
        <v>1010</v>
      </c>
      <c r="C518">
        <v>1</v>
      </c>
      <c r="D518" t="s">
        <v>1016</v>
      </c>
      <c r="E518" t="s">
        <v>1012</v>
      </c>
      <c r="F518" t="s">
        <v>1012</v>
      </c>
      <c r="G518" s="5">
        <v>1361</v>
      </c>
      <c r="H518">
        <v>6</v>
      </c>
      <c r="I518" t="s">
        <v>1019</v>
      </c>
      <c r="J518" t="str">
        <f t="shared" si="32"/>
        <v>Low Risk</v>
      </c>
      <c r="K518" t="str">
        <f t="shared" si="33"/>
        <v>Senior</v>
      </c>
      <c r="L518" t="str">
        <f t="shared" si="34"/>
        <v>Short</v>
      </c>
      <c r="M518" t="str">
        <f t="shared" si="35"/>
        <v>Low Risk</v>
      </c>
    </row>
    <row r="519" spans="1:13" x14ac:dyDescent="0.3">
      <c r="A519">
        <v>23</v>
      </c>
      <c r="B519" t="s">
        <v>1009</v>
      </c>
      <c r="C519">
        <v>2</v>
      </c>
      <c r="D519" t="s">
        <v>1017</v>
      </c>
      <c r="E519" t="s">
        <v>1012</v>
      </c>
      <c r="F519" t="s">
        <v>1011</v>
      </c>
      <c r="G519" s="5">
        <v>7127</v>
      </c>
      <c r="H519">
        <v>36</v>
      </c>
      <c r="I519" t="s">
        <v>1022</v>
      </c>
      <c r="J519" t="str">
        <f t="shared" si="32"/>
        <v>High Risk</v>
      </c>
      <c r="K519" t="str">
        <f t="shared" si="33"/>
        <v>Young</v>
      </c>
      <c r="L519" t="str">
        <f t="shared" si="34"/>
        <v>Long</v>
      </c>
      <c r="M519" t="str">
        <f t="shared" si="35"/>
        <v>HighRisk</v>
      </c>
    </row>
    <row r="520" spans="1:13" x14ac:dyDescent="0.3">
      <c r="A520">
        <v>43</v>
      </c>
      <c r="B520" t="s">
        <v>1010</v>
      </c>
      <c r="C520">
        <v>2</v>
      </c>
      <c r="D520" t="s">
        <v>1016</v>
      </c>
      <c r="E520" t="s">
        <v>1013</v>
      </c>
      <c r="F520" t="s">
        <v>1012</v>
      </c>
      <c r="G520" s="5">
        <v>1203</v>
      </c>
      <c r="H520">
        <v>6</v>
      </c>
      <c r="I520" t="s">
        <v>1019</v>
      </c>
      <c r="J520" t="str">
        <f t="shared" si="32"/>
        <v>Low Risk</v>
      </c>
      <c r="K520" t="str">
        <f t="shared" si="33"/>
        <v>Senior</v>
      </c>
      <c r="L520" t="str">
        <f t="shared" si="34"/>
        <v>Short</v>
      </c>
      <c r="M520" t="str">
        <f t="shared" si="35"/>
        <v>Low Risk</v>
      </c>
    </row>
    <row r="521" spans="1:13" x14ac:dyDescent="0.3">
      <c r="A521">
        <v>36</v>
      </c>
      <c r="B521" t="s">
        <v>1010</v>
      </c>
      <c r="C521">
        <v>2</v>
      </c>
      <c r="D521" t="s">
        <v>1015</v>
      </c>
      <c r="E521" t="s">
        <v>1011</v>
      </c>
      <c r="F521" t="s">
        <v>1011</v>
      </c>
      <c r="G521" s="5">
        <v>700</v>
      </c>
      <c r="H521">
        <v>6</v>
      </c>
      <c r="I521" t="s">
        <v>1023</v>
      </c>
      <c r="J521" t="str">
        <f t="shared" si="32"/>
        <v>Low Risk</v>
      </c>
      <c r="K521" t="str">
        <f t="shared" si="33"/>
        <v>Senior</v>
      </c>
      <c r="L521" t="str">
        <f t="shared" si="34"/>
        <v>Short</v>
      </c>
      <c r="M521" t="str">
        <f t="shared" si="35"/>
        <v>Low Risk</v>
      </c>
    </row>
    <row r="522" spans="1:13" x14ac:dyDescent="0.3">
      <c r="A522">
        <v>44</v>
      </c>
      <c r="B522" t="s">
        <v>1010</v>
      </c>
      <c r="C522">
        <v>2</v>
      </c>
      <c r="D522" t="s">
        <v>1015</v>
      </c>
      <c r="E522" t="s">
        <v>1012</v>
      </c>
      <c r="F522" t="s">
        <v>1011</v>
      </c>
      <c r="G522" s="5">
        <v>5507</v>
      </c>
      <c r="H522">
        <v>24</v>
      </c>
      <c r="I522" t="s">
        <v>1024</v>
      </c>
      <c r="J522" t="str">
        <f t="shared" si="32"/>
        <v>Low Risk</v>
      </c>
      <c r="K522" t="str">
        <f t="shared" si="33"/>
        <v>Senior</v>
      </c>
      <c r="L522" t="str">
        <f t="shared" si="34"/>
        <v>Medium</v>
      </c>
      <c r="M522" t="str">
        <f t="shared" si="35"/>
        <v>Medium Risk</v>
      </c>
    </row>
    <row r="523" spans="1:13" x14ac:dyDescent="0.3">
      <c r="A523">
        <v>24</v>
      </c>
      <c r="B523" t="s">
        <v>1009</v>
      </c>
      <c r="C523">
        <v>2</v>
      </c>
      <c r="D523" t="s">
        <v>1016</v>
      </c>
      <c r="E523" t="s">
        <v>1012</v>
      </c>
      <c r="F523" t="s">
        <v>1012</v>
      </c>
      <c r="G523" s="5">
        <v>3190</v>
      </c>
      <c r="H523">
        <v>18</v>
      </c>
      <c r="I523" t="s">
        <v>1023</v>
      </c>
      <c r="J523" t="str">
        <f t="shared" si="32"/>
        <v>Low Risk</v>
      </c>
      <c r="K523" t="str">
        <f t="shared" si="33"/>
        <v>Young</v>
      </c>
      <c r="L523" t="str">
        <f t="shared" si="34"/>
        <v>Medium</v>
      </c>
      <c r="M523" t="str">
        <f t="shared" si="35"/>
        <v>Medium Risk</v>
      </c>
    </row>
    <row r="524" spans="1:13" x14ac:dyDescent="0.3">
      <c r="A524">
        <v>53</v>
      </c>
      <c r="B524" t="s">
        <v>1010</v>
      </c>
      <c r="C524">
        <v>2</v>
      </c>
      <c r="D524" t="s">
        <v>1015</v>
      </c>
      <c r="E524" t="s">
        <v>1012</v>
      </c>
      <c r="F524" t="s">
        <v>1012</v>
      </c>
      <c r="G524" s="5">
        <v>7119</v>
      </c>
      <c r="H524">
        <v>48</v>
      </c>
      <c r="I524" t="s">
        <v>1022</v>
      </c>
      <c r="J524" t="str">
        <f t="shared" si="32"/>
        <v>High Risk</v>
      </c>
      <c r="K524" t="str">
        <f t="shared" si="33"/>
        <v>Adult</v>
      </c>
      <c r="L524" t="str">
        <f t="shared" si="34"/>
        <v>Long</v>
      </c>
      <c r="M524" t="str">
        <f t="shared" si="35"/>
        <v>HighRisk</v>
      </c>
    </row>
    <row r="525" spans="1:13" x14ac:dyDescent="0.3">
      <c r="A525">
        <v>23</v>
      </c>
      <c r="B525" t="s">
        <v>1009</v>
      </c>
      <c r="C525">
        <v>2</v>
      </c>
      <c r="D525" t="s">
        <v>1016</v>
      </c>
      <c r="E525" t="s">
        <v>1013</v>
      </c>
      <c r="F525" t="s">
        <v>1011</v>
      </c>
      <c r="G525" s="5">
        <v>3488</v>
      </c>
      <c r="H525">
        <v>24</v>
      </c>
      <c r="I525" t="s">
        <v>1019</v>
      </c>
      <c r="J525" t="str">
        <f t="shared" si="32"/>
        <v>Low Risk</v>
      </c>
      <c r="K525" t="str">
        <f t="shared" si="33"/>
        <v>Young</v>
      </c>
      <c r="L525" t="str">
        <f t="shared" si="34"/>
        <v>Medium</v>
      </c>
      <c r="M525" t="str">
        <f t="shared" si="35"/>
        <v>Medium Risk</v>
      </c>
    </row>
    <row r="526" spans="1:13" x14ac:dyDescent="0.3">
      <c r="A526">
        <v>26</v>
      </c>
      <c r="B526" t="s">
        <v>1009</v>
      </c>
      <c r="C526">
        <v>1</v>
      </c>
      <c r="D526" t="s">
        <v>1016</v>
      </c>
      <c r="E526" t="s">
        <v>1012</v>
      </c>
      <c r="F526" t="s">
        <v>1013</v>
      </c>
      <c r="G526" s="5">
        <v>1113</v>
      </c>
      <c r="H526">
        <v>18</v>
      </c>
      <c r="I526" t="s">
        <v>1023</v>
      </c>
      <c r="J526" t="str">
        <f t="shared" si="32"/>
        <v>Low Risk</v>
      </c>
      <c r="K526" t="str">
        <f t="shared" si="33"/>
        <v>Young</v>
      </c>
      <c r="L526" t="str">
        <f t="shared" si="34"/>
        <v>Medium</v>
      </c>
      <c r="M526" t="str">
        <f t="shared" si="35"/>
        <v>Low Risk</v>
      </c>
    </row>
    <row r="527" spans="1:13" x14ac:dyDescent="0.3">
      <c r="A527">
        <v>30</v>
      </c>
      <c r="B527" t="s">
        <v>1010</v>
      </c>
      <c r="C527">
        <v>2</v>
      </c>
      <c r="D527" t="s">
        <v>1016</v>
      </c>
      <c r="E527" t="s">
        <v>1012</v>
      </c>
      <c r="F527" t="s">
        <v>1013</v>
      </c>
      <c r="G527" s="5">
        <v>7966</v>
      </c>
      <c r="H527">
        <v>26</v>
      </c>
      <c r="I527" t="s">
        <v>1019</v>
      </c>
      <c r="J527" t="str">
        <f t="shared" si="32"/>
        <v>High Risk</v>
      </c>
      <c r="K527" t="str">
        <f t="shared" si="33"/>
        <v>Senior</v>
      </c>
      <c r="L527" t="str">
        <f t="shared" si="34"/>
        <v>Medium</v>
      </c>
      <c r="M527" t="str">
        <f t="shared" si="35"/>
        <v>HighRisk</v>
      </c>
    </row>
    <row r="528" spans="1:13" x14ac:dyDescent="0.3">
      <c r="A528">
        <v>31</v>
      </c>
      <c r="B528" t="s">
        <v>1009</v>
      </c>
      <c r="C528">
        <v>2</v>
      </c>
      <c r="D528" t="s">
        <v>1016</v>
      </c>
      <c r="E528" t="s">
        <v>1013</v>
      </c>
      <c r="F528" t="s">
        <v>1011</v>
      </c>
      <c r="G528" s="5">
        <v>1532</v>
      </c>
      <c r="H528">
        <v>15</v>
      </c>
      <c r="I528" t="s">
        <v>1021</v>
      </c>
      <c r="J528" t="str">
        <f t="shared" si="32"/>
        <v>Low Risk</v>
      </c>
      <c r="K528" t="str">
        <f t="shared" si="33"/>
        <v>Senior</v>
      </c>
      <c r="L528" t="str">
        <f t="shared" si="34"/>
        <v>Medium</v>
      </c>
      <c r="M528" t="str">
        <f t="shared" si="35"/>
        <v>Low Risk</v>
      </c>
    </row>
    <row r="529" spans="1:13" x14ac:dyDescent="0.3">
      <c r="A529">
        <v>42</v>
      </c>
      <c r="B529" t="s">
        <v>1010</v>
      </c>
      <c r="C529">
        <v>1</v>
      </c>
      <c r="D529" t="s">
        <v>1016</v>
      </c>
      <c r="E529" t="s">
        <v>1012</v>
      </c>
      <c r="F529" t="s">
        <v>1011</v>
      </c>
      <c r="G529" s="5">
        <v>1503</v>
      </c>
      <c r="H529">
        <v>4</v>
      </c>
      <c r="I529" t="s">
        <v>1023</v>
      </c>
      <c r="J529" t="str">
        <f t="shared" si="32"/>
        <v>Low Risk</v>
      </c>
      <c r="K529" t="str">
        <f t="shared" si="33"/>
        <v>Senior</v>
      </c>
      <c r="L529" t="str">
        <f t="shared" si="34"/>
        <v>Short</v>
      </c>
      <c r="M529" t="str">
        <f t="shared" si="35"/>
        <v>Low Risk</v>
      </c>
    </row>
    <row r="530" spans="1:13" x14ac:dyDescent="0.3">
      <c r="A530">
        <v>31</v>
      </c>
      <c r="B530" t="s">
        <v>1010</v>
      </c>
      <c r="C530">
        <v>2</v>
      </c>
      <c r="D530" t="s">
        <v>1017</v>
      </c>
      <c r="E530" t="s">
        <v>1012</v>
      </c>
      <c r="F530" t="s">
        <v>1012</v>
      </c>
      <c r="G530" s="5">
        <v>2302</v>
      </c>
      <c r="H530">
        <v>36</v>
      </c>
      <c r="I530" t="s">
        <v>1023</v>
      </c>
      <c r="J530" t="str">
        <f t="shared" si="32"/>
        <v>Low Risk</v>
      </c>
      <c r="K530" t="str">
        <f t="shared" si="33"/>
        <v>Senior</v>
      </c>
      <c r="L530" t="str">
        <f t="shared" si="34"/>
        <v>Long</v>
      </c>
      <c r="M530" t="str">
        <f t="shared" si="35"/>
        <v>Low Risk</v>
      </c>
    </row>
    <row r="531" spans="1:13" x14ac:dyDescent="0.3">
      <c r="A531">
        <v>41</v>
      </c>
      <c r="B531" t="s">
        <v>1010</v>
      </c>
      <c r="C531">
        <v>1</v>
      </c>
      <c r="D531" t="s">
        <v>1016</v>
      </c>
      <c r="E531" t="s">
        <v>1012</v>
      </c>
      <c r="F531" t="s">
        <v>1012</v>
      </c>
      <c r="G531" s="5">
        <v>662</v>
      </c>
      <c r="H531">
        <v>6</v>
      </c>
      <c r="I531" t="s">
        <v>1019</v>
      </c>
      <c r="J531" t="str">
        <f t="shared" si="32"/>
        <v>Low Risk</v>
      </c>
      <c r="K531" t="str">
        <f t="shared" si="33"/>
        <v>Senior</v>
      </c>
      <c r="L531" t="str">
        <f t="shared" si="34"/>
        <v>Short</v>
      </c>
      <c r="M531" t="str">
        <f t="shared" si="35"/>
        <v>Low Risk</v>
      </c>
    </row>
    <row r="532" spans="1:13" x14ac:dyDescent="0.3">
      <c r="A532">
        <v>32</v>
      </c>
      <c r="B532" t="s">
        <v>1010</v>
      </c>
      <c r="C532">
        <v>2</v>
      </c>
      <c r="D532" t="s">
        <v>1016</v>
      </c>
      <c r="E532" t="s">
        <v>1012</v>
      </c>
      <c r="F532" t="s">
        <v>1013</v>
      </c>
      <c r="G532" s="5">
        <v>2273</v>
      </c>
      <c r="H532">
        <v>36</v>
      </c>
      <c r="I532" t="s">
        <v>1021</v>
      </c>
      <c r="J532" t="str">
        <f t="shared" si="32"/>
        <v>Low Risk</v>
      </c>
      <c r="K532" t="str">
        <f t="shared" si="33"/>
        <v>Senior</v>
      </c>
      <c r="L532" t="str">
        <f t="shared" si="34"/>
        <v>Long</v>
      </c>
      <c r="M532" t="str">
        <f t="shared" si="35"/>
        <v>Low Risk</v>
      </c>
    </row>
    <row r="533" spans="1:13" x14ac:dyDescent="0.3">
      <c r="A533">
        <v>28</v>
      </c>
      <c r="B533" t="s">
        <v>1009</v>
      </c>
      <c r="C533">
        <v>2</v>
      </c>
      <c r="D533" t="s">
        <v>1017</v>
      </c>
      <c r="E533" t="s">
        <v>1013</v>
      </c>
      <c r="F533" t="s">
        <v>1013</v>
      </c>
      <c r="G533" s="5">
        <v>2631</v>
      </c>
      <c r="H533">
        <v>15</v>
      </c>
      <c r="I533" t="s">
        <v>1019</v>
      </c>
      <c r="J533" t="str">
        <f t="shared" si="32"/>
        <v>Low Risk</v>
      </c>
      <c r="K533" t="str">
        <f t="shared" si="33"/>
        <v>Young</v>
      </c>
      <c r="L533" t="str">
        <f t="shared" si="34"/>
        <v>Medium</v>
      </c>
      <c r="M533" t="str">
        <f t="shared" si="35"/>
        <v>Low Risk</v>
      </c>
    </row>
    <row r="534" spans="1:13" x14ac:dyDescent="0.3">
      <c r="A534">
        <v>41</v>
      </c>
      <c r="B534" t="s">
        <v>1010</v>
      </c>
      <c r="C534">
        <v>2</v>
      </c>
      <c r="D534" t="s">
        <v>1017</v>
      </c>
      <c r="E534" t="s">
        <v>1012</v>
      </c>
      <c r="F534" t="s">
        <v>1011</v>
      </c>
      <c r="G534" s="5">
        <v>1503</v>
      </c>
      <c r="H534">
        <v>12</v>
      </c>
      <c r="I534" t="s">
        <v>1019</v>
      </c>
      <c r="J534" t="str">
        <f t="shared" si="32"/>
        <v>Low Risk</v>
      </c>
      <c r="K534" t="str">
        <f t="shared" si="33"/>
        <v>Senior</v>
      </c>
      <c r="L534" t="str">
        <f t="shared" si="34"/>
        <v>Medium</v>
      </c>
      <c r="M534" t="str">
        <f t="shared" si="35"/>
        <v>Low Risk</v>
      </c>
    </row>
    <row r="535" spans="1:13" x14ac:dyDescent="0.3">
      <c r="A535">
        <v>26</v>
      </c>
      <c r="B535" t="s">
        <v>1010</v>
      </c>
      <c r="C535">
        <v>2</v>
      </c>
      <c r="D535" t="s">
        <v>1016</v>
      </c>
      <c r="E535" t="s">
        <v>1013</v>
      </c>
      <c r="F535" t="s">
        <v>1011</v>
      </c>
      <c r="G535" s="5">
        <v>1311</v>
      </c>
      <c r="H535">
        <v>24</v>
      </c>
      <c r="I535" t="s">
        <v>1023</v>
      </c>
      <c r="J535" t="str">
        <f t="shared" si="32"/>
        <v>Low Risk</v>
      </c>
      <c r="K535" t="str">
        <f t="shared" si="33"/>
        <v>Young</v>
      </c>
      <c r="L535" t="str">
        <f t="shared" si="34"/>
        <v>Medium</v>
      </c>
      <c r="M535" t="str">
        <f t="shared" si="35"/>
        <v>Low Risk</v>
      </c>
    </row>
    <row r="536" spans="1:13" x14ac:dyDescent="0.3">
      <c r="A536">
        <v>25</v>
      </c>
      <c r="B536" t="s">
        <v>1010</v>
      </c>
      <c r="C536">
        <v>2</v>
      </c>
      <c r="D536" t="s">
        <v>1016</v>
      </c>
      <c r="E536" t="s">
        <v>1011</v>
      </c>
      <c r="F536" t="s">
        <v>1011</v>
      </c>
      <c r="G536" s="5">
        <v>3105</v>
      </c>
      <c r="H536">
        <v>24</v>
      </c>
      <c r="I536" t="s">
        <v>1023</v>
      </c>
      <c r="J536" t="str">
        <f t="shared" si="32"/>
        <v>Low Risk</v>
      </c>
      <c r="K536" t="str">
        <f t="shared" si="33"/>
        <v>Young</v>
      </c>
      <c r="L536" t="str">
        <f t="shared" si="34"/>
        <v>Medium</v>
      </c>
      <c r="M536" t="str">
        <f t="shared" si="35"/>
        <v>Medium Risk</v>
      </c>
    </row>
    <row r="537" spans="1:13" x14ac:dyDescent="0.3">
      <c r="A537">
        <v>33</v>
      </c>
      <c r="B537" t="s">
        <v>1010</v>
      </c>
      <c r="C537">
        <v>2</v>
      </c>
      <c r="D537" t="s">
        <v>1017</v>
      </c>
      <c r="E537" t="s">
        <v>1012</v>
      </c>
      <c r="F537" t="s">
        <v>1008</v>
      </c>
      <c r="G537" s="5">
        <v>2319</v>
      </c>
      <c r="H537">
        <v>21</v>
      </c>
      <c r="I537" t="s">
        <v>1021</v>
      </c>
      <c r="J537" t="str">
        <f t="shared" si="32"/>
        <v>Low Risk</v>
      </c>
      <c r="K537" t="str">
        <f t="shared" si="33"/>
        <v>Senior</v>
      </c>
      <c r="L537" t="str">
        <f t="shared" si="34"/>
        <v>Medium</v>
      </c>
      <c r="M537" t="str">
        <f t="shared" si="35"/>
        <v>Low Risk</v>
      </c>
    </row>
    <row r="538" spans="1:13" x14ac:dyDescent="0.3">
      <c r="A538">
        <v>75</v>
      </c>
      <c r="B538" t="s">
        <v>1009</v>
      </c>
      <c r="C538">
        <v>3</v>
      </c>
      <c r="D538" t="s">
        <v>1016</v>
      </c>
      <c r="E538" t="s">
        <v>1011</v>
      </c>
      <c r="F538" t="s">
        <v>1012</v>
      </c>
      <c r="G538" s="5">
        <v>1374</v>
      </c>
      <c r="H538">
        <v>6</v>
      </c>
      <c r="I538" t="s">
        <v>1019</v>
      </c>
      <c r="J538" t="str">
        <f t="shared" si="32"/>
        <v>Low Risk</v>
      </c>
      <c r="K538" t="str">
        <f t="shared" si="33"/>
        <v>Adult</v>
      </c>
      <c r="L538" t="str">
        <f t="shared" si="34"/>
        <v>Short</v>
      </c>
      <c r="M538" t="str">
        <f t="shared" si="35"/>
        <v>Low Risk</v>
      </c>
    </row>
    <row r="539" spans="1:13" x14ac:dyDescent="0.3">
      <c r="A539">
        <v>37</v>
      </c>
      <c r="B539" t="s">
        <v>1009</v>
      </c>
      <c r="C539">
        <v>2</v>
      </c>
      <c r="D539" t="s">
        <v>1016</v>
      </c>
      <c r="E539" t="s">
        <v>1012</v>
      </c>
      <c r="F539" t="s">
        <v>1013</v>
      </c>
      <c r="G539" s="5">
        <v>3612</v>
      </c>
      <c r="H539">
        <v>18</v>
      </c>
      <c r="I539" t="s">
        <v>1022</v>
      </c>
      <c r="J539" t="str">
        <f t="shared" si="32"/>
        <v>Low Risk</v>
      </c>
      <c r="K539" t="str">
        <f t="shared" si="33"/>
        <v>Senior</v>
      </c>
      <c r="L539" t="str">
        <f t="shared" si="34"/>
        <v>Medium</v>
      </c>
      <c r="M539" t="str">
        <f t="shared" si="35"/>
        <v>Medium Risk</v>
      </c>
    </row>
    <row r="540" spans="1:13" x14ac:dyDescent="0.3">
      <c r="A540">
        <v>42</v>
      </c>
      <c r="B540" t="s">
        <v>1010</v>
      </c>
      <c r="C540">
        <v>3</v>
      </c>
      <c r="D540" t="s">
        <v>1015</v>
      </c>
      <c r="E540" t="s">
        <v>1012</v>
      </c>
      <c r="F540" t="s">
        <v>1012</v>
      </c>
      <c r="G540" s="5">
        <v>7763</v>
      </c>
      <c r="H540">
        <v>48</v>
      </c>
      <c r="I540" t="s">
        <v>1019</v>
      </c>
      <c r="J540" t="str">
        <f t="shared" si="32"/>
        <v>High Risk</v>
      </c>
      <c r="K540" t="str">
        <f t="shared" si="33"/>
        <v>Senior</v>
      </c>
      <c r="L540" t="str">
        <f t="shared" si="34"/>
        <v>Long</v>
      </c>
      <c r="M540" t="str">
        <f t="shared" si="35"/>
        <v>HighRisk</v>
      </c>
    </row>
    <row r="541" spans="1:13" x14ac:dyDescent="0.3">
      <c r="A541">
        <v>45</v>
      </c>
      <c r="B541" t="s">
        <v>1009</v>
      </c>
      <c r="C541">
        <v>1</v>
      </c>
      <c r="D541" t="s">
        <v>1016</v>
      </c>
      <c r="E541" t="s">
        <v>1012</v>
      </c>
      <c r="F541" t="s">
        <v>1008</v>
      </c>
      <c r="G541" s="5">
        <v>3049</v>
      </c>
      <c r="H541">
        <v>18</v>
      </c>
      <c r="I541" t="s">
        <v>1022</v>
      </c>
      <c r="J541" t="str">
        <f t="shared" si="32"/>
        <v>Low Risk</v>
      </c>
      <c r="K541" t="str">
        <f t="shared" si="33"/>
        <v>Senior</v>
      </c>
      <c r="L541" t="str">
        <f t="shared" si="34"/>
        <v>Medium</v>
      </c>
      <c r="M541" t="str">
        <f t="shared" si="35"/>
        <v>Medium Risk</v>
      </c>
    </row>
    <row r="542" spans="1:13" x14ac:dyDescent="0.3">
      <c r="A542">
        <v>23</v>
      </c>
      <c r="B542" t="s">
        <v>1010</v>
      </c>
      <c r="C542">
        <v>2</v>
      </c>
      <c r="D542" t="s">
        <v>1017</v>
      </c>
      <c r="E542" t="s">
        <v>1012</v>
      </c>
      <c r="F542" t="s">
        <v>1013</v>
      </c>
      <c r="G542" s="5">
        <v>1534</v>
      </c>
      <c r="H542">
        <v>12</v>
      </c>
      <c r="I542" t="s">
        <v>1023</v>
      </c>
      <c r="J542" t="str">
        <f t="shared" si="32"/>
        <v>Low Risk</v>
      </c>
      <c r="K542" t="str">
        <f t="shared" si="33"/>
        <v>Young</v>
      </c>
      <c r="L542" t="str">
        <f t="shared" si="34"/>
        <v>Medium</v>
      </c>
      <c r="M542" t="str">
        <f t="shared" si="35"/>
        <v>Low Risk</v>
      </c>
    </row>
    <row r="543" spans="1:13" x14ac:dyDescent="0.3">
      <c r="A543">
        <v>60</v>
      </c>
      <c r="B543" t="s">
        <v>1010</v>
      </c>
      <c r="C543">
        <v>2</v>
      </c>
      <c r="D543" t="s">
        <v>1015</v>
      </c>
      <c r="E543" t="s">
        <v>1012</v>
      </c>
      <c r="F543" t="s">
        <v>1011</v>
      </c>
      <c r="G543" s="5">
        <v>2032</v>
      </c>
      <c r="H543">
        <v>24</v>
      </c>
      <c r="I543" t="s">
        <v>1019</v>
      </c>
      <c r="J543" t="str">
        <f t="shared" si="32"/>
        <v>Low Risk</v>
      </c>
      <c r="K543" t="str">
        <f t="shared" si="33"/>
        <v>Adult</v>
      </c>
      <c r="L543" t="str">
        <f t="shared" si="34"/>
        <v>Medium</v>
      </c>
      <c r="M543" t="str">
        <f t="shared" si="35"/>
        <v>Low Risk</v>
      </c>
    </row>
    <row r="544" spans="1:13" x14ac:dyDescent="0.3">
      <c r="A544">
        <v>31</v>
      </c>
      <c r="B544" t="s">
        <v>1010</v>
      </c>
      <c r="C544">
        <v>2</v>
      </c>
      <c r="D544" t="s">
        <v>1016</v>
      </c>
      <c r="E544" t="s">
        <v>1011</v>
      </c>
      <c r="F544" t="s">
        <v>1012</v>
      </c>
      <c r="G544" s="5">
        <v>6350</v>
      </c>
      <c r="H544">
        <v>30</v>
      </c>
      <c r="I544" t="s">
        <v>1022</v>
      </c>
      <c r="J544" t="str">
        <f t="shared" si="32"/>
        <v>Medium Risk</v>
      </c>
      <c r="K544" t="str">
        <f t="shared" si="33"/>
        <v>Senior</v>
      </c>
      <c r="L544" t="str">
        <f t="shared" si="34"/>
        <v>Medium</v>
      </c>
      <c r="M544" t="str">
        <f t="shared" si="35"/>
        <v>HighRisk</v>
      </c>
    </row>
    <row r="545" spans="1:13" x14ac:dyDescent="0.3">
      <c r="A545">
        <v>34</v>
      </c>
      <c r="B545" t="s">
        <v>1010</v>
      </c>
      <c r="C545">
        <v>1</v>
      </c>
      <c r="D545" t="s">
        <v>1016</v>
      </c>
      <c r="E545" t="s">
        <v>1012</v>
      </c>
      <c r="F545" t="s">
        <v>1008</v>
      </c>
      <c r="G545" s="5">
        <v>2864</v>
      </c>
      <c r="H545">
        <v>18</v>
      </c>
      <c r="I545" t="s">
        <v>1022</v>
      </c>
      <c r="J545" t="str">
        <f t="shared" si="32"/>
        <v>Low Risk</v>
      </c>
      <c r="K545" t="str">
        <f t="shared" si="33"/>
        <v>Senior</v>
      </c>
      <c r="L545" t="str">
        <f t="shared" si="34"/>
        <v>Medium</v>
      </c>
      <c r="M545" t="str">
        <f t="shared" si="35"/>
        <v>Low Risk</v>
      </c>
    </row>
    <row r="546" spans="1:13" x14ac:dyDescent="0.3">
      <c r="A546">
        <v>61</v>
      </c>
      <c r="B546" t="s">
        <v>1010</v>
      </c>
      <c r="C546">
        <v>1</v>
      </c>
      <c r="D546" t="s">
        <v>1016</v>
      </c>
      <c r="E546" t="s">
        <v>1012</v>
      </c>
      <c r="F546" t="s">
        <v>1011</v>
      </c>
      <c r="G546" s="5">
        <v>1255</v>
      </c>
      <c r="H546">
        <v>12</v>
      </c>
      <c r="I546" t="s">
        <v>1019</v>
      </c>
      <c r="J546" t="str">
        <f t="shared" si="32"/>
        <v>Low Risk</v>
      </c>
      <c r="K546" t="str">
        <f t="shared" si="33"/>
        <v>Adult</v>
      </c>
      <c r="L546" t="str">
        <f t="shared" si="34"/>
        <v>Medium</v>
      </c>
      <c r="M546" t="str">
        <f t="shared" si="35"/>
        <v>Low Risk</v>
      </c>
    </row>
    <row r="547" spans="1:13" x14ac:dyDescent="0.3">
      <c r="A547">
        <v>43</v>
      </c>
      <c r="B547" t="s">
        <v>1010</v>
      </c>
      <c r="C547">
        <v>2</v>
      </c>
      <c r="D547" t="s">
        <v>1015</v>
      </c>
      <c r="E547" t="s">
        <v>1012</v>
      </c>
      <c r="F547" t="s">
        <v>1012</v>
      </c>
      <c r="G547" s="5">
        <v>1333</v>
      </c>
      <c r="H547">
        <v>24</v>
      </c>
      <c r="I547" t="s">
        <v>1019</v>
      </c>
      <c r="J547" t="str">
        <f t="shared" si="32"/>
        <v>Low Risk</v>
      </c>
      <c r="K547" t="str">
        <f t="shared" si="33"/>
        <v>Senior</v>
      </c>
      <c r="L547" t="str">
        <f t="shared" si="34"/>
        <v>Medium</v>
      </c>
      <c r="M547" t="str">
        <f t="shared" si="35"/>
        <v>Low Risk</v>
      </c>
    </row>
    <row r="548" spans="1:13" x14ac:dyDescent="0.3">
      <c r="A548">
        <v>37</v>
      </c>
      <c r="B548" t="s">
        <v>1009</v>
      </c>
      <c r="C548">
        <v>2</v>
      </c>
      <c r="D548" t="s">
        <v>1016</v>
      </c>
      <c r="E548" t="s">
        <v>1012</v>
      </c>
      <c r="F548" t="s">
        <v>1011</v>
      </c>
      <c r="G548" s="5">
        <v>2022</v>
      </c>
      <c r="H548">
        <v>24</v>
      </c>
      <c r="I548" t="s">
        <v>1019</v>
      </c>
      <c r="J548" t="str">
        <f t="shared" si="32"/>
        <v>Low Risk</v>
      </c>
      <c r="K548" t="str">
        <f t="shared" si="33"/>
        <v>Senior</v>
      </c>
      <c r="L548" t="str">
        <f t="shared" si="34"/>
        <v>Medium</v>
      </c>
      <c r="M548" t="str">
        <f t="shared" si="35"/>
        <v>Low Risk</v>
      </c>
    </row>
    <row r="549" spans="1:13" x14ac:dyDescent="0.3">
      <c r="A549">
        <v>32</v>
      </c>
      <c r="B549" t="s">
        <v>1010</v>
      </c>
      <c r="C549">
        <v>2</v>
      </c>
      <c r="D549" t="s">
        <v>1016</v>
      </c>
      <c r="E549" t="s">
        <v>1012</v>
      </c>
      <c r="F549" t="s">
        <v>1011</v>
      </c>
      <c r="G549" s="5">
        <v>1552</v>
      </c>
      <c r="H549">
        <v>24</v>
      </c>
      <c r="I549" t="s">
        <v>1023</v>
      </c>
      <c r="J549" t="str">
        <f t="shared" si="32"/>
        <v>Low Risk</v>
      </c>
      <c r="K549" t="str">
        <f t="shared" si="33"/>
        <v>Senior</v>
      </c>
      <c r="L549" t="str">
        <f t="shared" si="34"/>
        <v>Medium</v>
      </c>
      <c r="M549" t="str">
        <f t="shared" si="35"/>
        <v>Low Risk</v>
      </c>
    </row>
    <row r="550" spans="1:13" x14ac:dyDescent="0.3">
      <c r="A550">
        <v>24</v>
      </c>
      <c r="B550" t="s">
        <v>1009</v>
      </c>
      <c r="C550">
        <v>1</v>
      </c>
      <c r="D550" t="s">
        <v>1016</v>
      </c>
      <c r="E550" t="s">
        <v>1012</v>
      </c>
      <c r="F550" t="s">
        <v>1012</v>
      </c>
      <c r="G550" s="5">
        <v>626</v>
      </c>
      <c r="H550">
        <v>12</v>
      </c>
      <c r="I550" t="s">
        <v>1023</v>
      </c>
      <c r="J550" t="str">
        <f t="shared" si="32"/>
        <v>Low Risk</v>
      </c>
      <c r="K550" t="str">
        <f t="shared" si="33"/>
        <v>Young</v>
      </c>
      <c r="L550" t="str">
        <f t="shared" si="34"/>
        <v>Medium</v>
      </c>
      <c r="M550" t="str">
        <f t="shared" si="35"/>
        <v>Low Risk</v>
      </c>
    </row>
    <row r="551" spans="1:13" x14ac:dyDescent="0.3">
      <c r="A551">
        <v>35</v>
      </c>
      <c r="B551" t="s">
        <v>1010</v>
      </c>
      <c r="C551">
        <v>2</v>
      </c>
      <c r="D551" t="s">
        <v>1015</v>
      </c>
      <c r="E551" t="s">
        <v>1011</v>
      </c>
      <c r="F551" t="s">
        <v>1011</v>
      </c>
      <c r="G551" s="5">
        <v>8858</v>
      </c>
      <c r="H551">
        <v>48</v>
      </c>
      <c r="I551" t="s">
        <v>1019</v>
      </c>
      <c r="J551" t="str">
        <f t="shared" si="32"/>
        <v>High Risk</v>
      </c>
      <c r="K551" t="str">
        <f t="shared" si="33"/>
        <v>Senior</v>
      </c>
      <c r="L551" t="str">
        <f t="shared" si="34"/>
        <v>Long</v>
      </c>
      <c r="M551" t="str">
        <f t="shared" si="35"/>
        <v>HighRisk</v>
      </c>
    </row>
    <row r="552" spans="1:13" x14ac:dyDescent="0.3">
      <c r="A552">
        <v>23</v>
      </c>
      <c r="B552" t="s">
        <v>1009</v>
      </c>
      <c r="C552">
        <v>2</v>
      </c>
      <c r="D552" t="s">
        <v>1016</v>
      </c>
      <c r="E552" t="s">
        <v>1011</v>
      </c>
      <c r="F552" t="s">
        <v>1011</v>
      </c>
      <c r="G552" s="5">
        <v>996</v>
      </c>
      <c r="H552">
        <v>12</v>
      </c>
      <c r="I552" t="s">
        <v>1024</v>
      </c>
      <c r="J552" t="str">
        <f t="shared" si="32"/>
        <v>Low Risk</v>
      </c>
      <c r="K552" t="str">
        <f t="shared" si="33"/>
        <v>Young</v>
      </c>
      <c r="L552" t="str">
        <f t="shared" si="34"/>
        <v>Medium</v>
      </c>
      <c r="M552" t="str">
        <f t="shared" si="35"/>
        <v>Low Risk</v>
      </c>
    </row>
    <row r="553" spans="1:13" x14ac:dyDescent="0.3">
      <c r="A553">
        <v>45</v>
      </c>
      <c r="B553" t="s">
        <v>1010</v>
      </c>
      <c r="C553">
        <v>1</v>
      </c>
      <c r="D553" t="s">
        <v>1016</v>
      </c>
      <c r="E553" t="s">
        <v>1014</v>
      </c>
      <c r="F553" t="s">
        <v>1011</v>
      </c>
      <c r="G553" s="5">
        <v>1750</v>
      </c>
      <c r="H553">
        <v>6</v>
      </c>
      <c r="I553" t="s">
        <v>1023</v>
      </c>
      <c r="J553" t="str">
        <f t="shared" si="32"/>
        <v>Low Risk</v>
      </c>
      <c r="K553" t="str">
        <f t="shared" si="33"/>
        <v>Senior</v>
      </c>
      <c r="L553" t="str">
        <f t="shared" si="34"/>
        <v>Short</v>
      </c>
      <c r="M553" t="str">
        <f t="shared" si="35"/>
        <v>Low Risk</v>
      </c>
    </row>
    <row r="554" spans="1:13" x14ac:dyDescent="0.3">
      <c r="A554">
        <v>34</v>
      </c>
      <c r="B554" t="s">
        <v>1010</v>
      </c>
      <c r="C554">
        <v>2</v>
      </c>
      <c r="D554" t="s">
        <v>1016</v>
      </c>
      <c r="E554" t="s">
        <v>1012</v>
      </c>
      <c r="F554" t="s">
        <v>1012</v>
      </c>
      <c r="G554" s="5">
        <v>6999</v>
      </c>
      <c r="H554">
        <v>48</v>
      </c>
      <c r="I554" t="s">
        <v>1023</v>
      </c>
      <c r="J554" t="str">
        <f t="shared" si="32"/>
        <v>High Risk</v>
      </c>
      <c r="K554" t="str">
        <f t="shared" si="33"/>
        <v>Senior</v>
      </c>
      <c r="L554" t="str">
        <f t="shared" si="34"/>
        <v>Long</v>
      </c>
      <c r="M554" t="str">
        <f t="shared" si="35"/>
        <v>HighRisk</v>
      </c>
    </row>
    <row r="555" spans="1:13" x14ac:dyDescent="0.3">
      <c r="A555">
        <v>27</v>
      </c>
      <c r="B555" t="s">
        <v>1010</v>
      </c>
      <c r="C555">
        <v>2</v>
      </c>
      <c r="D555" t="s">
        <v>1016</v>
      </c>
      <c r="E555" t="s">
        <v>1013</v>
      </c>
      <c r="F555" t="s">
        <v>1013</v>
      </c>
      <c r="G555" s="5">
        <v>1995</v>
      </c>
      <c r="H555">
        <v>12</v>
      </c>
      <c r="I555" t="s">
        <v>1019</v>
      </c>
      <c r="J555" t="str">
        <f t="shared" si="32"/>
        <v>Low Risk</v>
      </c>
      <c r="K555" t="str">
        <f t="shared" si="33"/>
        <v>Young</v>
      </c>
      <c r="L555" t="str">
        <f t="shared" si="34"/>
        <v>Medium</v>
      </c>
      <c r="M555" t="str">
        <f t="shared" si="35"/>
        <v>Low Risk</v>
      </c>
    </row>
    <row r="556" spans="1:13" x14ac:dyDescent="0.3">
      <c r="A556">
        <v>67</v>
      </c>
      <c r="B556" t="s">
        <v>1009</v>
      </c>
      <c r="C556">
        <v>3</v>
      </c>
      <c r="D556" t="s">
        <v>1016</v>
      </c>
      <c r="E556" t="s">
        <v>1012</v>
      </c>
      <c r="F556" t="s">
        <v>1013</v>
      </c>
      <c r="G556" s="5">
        <v>1199</v>
      </c>
      <c r="H556">
        <v>9</v>
      </c>
      <c r="I556" t="s">
        <v>1021</v>
      </c>
      <c r="J556" t="str">
        <f t="shared" si="32"/>
        <v>Low Risk</v>
      </c>
      <c r="K556" t="str">
        <f t="shared" si="33"/>
        <v>Adult</v>
      </c>
      <c r="L556" t="str">
        <f t="shared" si="34"/>
        <v>Short</v>
      </c>
      <c r="M556" t="str">
        <f t="shared" si="35"/>
        <v>Low Risk</v>
      </c>
    </row>
    <row r="557" spans="1:13" x14ac:dyDescent="0.3">
      <c r="A557">
        <v>22</v>
      </c>
      <c r="B557" t="s">
        <v>1010</v>
      </c>
      <c r="C557">
        <v>2</v>
      </c>
      <c r="D557" t="s">
        <v>1016</v>
      </c>
      <c r="E557" t="s">
        <v>1012</v>
      </c>
      <c r="F557" t="s">
        <v>1013</v>
      </c>
      <c r="G557" s="5">
        <v>1331</v>
      </c>
      <c r="H557">
        <v>12</v>
      </c>
      <c r="I557" t="s">
        <v>1023</v>
      </c>
      <c r="J557" t="str">
        <f t="shared" si="32"/>
        <v>Low Risk</v>
      </c>
      <c r="K557" t="str">
        <f t="shared" si="33"/>
        <v>Young</v>
      </c>
      <c r="L557" t="str">
        <f t="shared" si="34"/>
        <v>Medium</v>
      </c>
      <c r="M557" t="str">
        <f t="shared" si="35"/>
        <v>Low Risk</v>
      </c>
    </row>
    <row r="558" spans="1:13" x14ac:dyDescent="0.3">
      <c r="A558">
        <v>28</v>
      </c>
      <c r="B558" t="s">
        <v>1009</v>
      </c>
      <c r="C558">
        <v>2</v>
      </c>
      <c r="D558" t="s">
        <v>1016</v>
      </c>
      <c r="E558" t="s">
        <v>1013</v>
      </c>
      <c r="F558" t="s">
        <v>1013</v>
      </c>
      <c r="G558" s="5">
        <v>2278</v>
      </c>
      <c r="H558">
        <v>18</v>
      </c>
      <c r="I558" t="s">
        <v>1019</v>
      </c>
      <c r="J558" t="str">
        <f t="shared" si="32"/>
        <v>Low Risk</v>
      </c>
      <c r="K558" t="str">
        <f t="shared" si="33"/>
        <v>Young</v>
      </c>
      <c r="L558" t="str">
        <f t="shared" si="34"/>
        <v>Medium</v>
      </c>
      <c r="M558" t="str">
        <f t="shared" si="35"/>
        <v>Low Risk</v>
      </c>
    </row>
    <row r="559" spans="1:13" x14ac:dyDescent="0.3">
      <c r="A559">
        <v>29</v>
      </c>
      <c r="B559" t="s">
        <v>1009</v>
      </c>
      <c r="C559">
        <v>2</v>
      </c>
      <c r="D559" t="s">
        <v>1016</v>
      </c>
      <c r="E559" t="s">
        <v>1011</v>
      </c>
      <c r="F559" t="s">
        <v>1011</v>
      </c>
      <c r="G559" s="5">
        <v>5003</v>
      </c>
      <c r="H559">
        <v>21</v>
      </c>
      <c r="I559" t="s">
        <v>1019</v>
      </c>
      <c r="J559" t="str">
        <f t="shared" si="32"/>
        <v>Low Risk</v>
      </c>
      <c r="K559" t="str">
        <f t="shared" si="33"/>
        <v>Young</v>
      </c>
      <c r="L559" t="str">
        <f t="shared" si="34"/>
        <v>Medium</v>
      </c>
      <c r="M559" t="str">
        <f t="shared" si="35"/>
        <v>Medium Risk</v>
      </c>
    </row>
    <row r="560" spans="1:13" x14ac:dyDescent="0.3">
      <c r="A560">
        <v>27</v>
      </c>
      <c r="B560" t="s">
        <v>1010</v>
      </c>
      <c r="C560">
        <v>2</v>
      </c>
      <c r="D560" t="s">
        <v>1016</v>
      </c>
      <c r="E560" t="s">
        <v>1012</v>
      </c>
      <c r="F560" t="s">
        <v>1012</v>
      </c>
      <c r="G560" s="5">
        <v>3552</v>
      </c>
      <c r="H560">
        <v>24</v>
      </c>
      <c r="I560" t="s">
        <v>1022</v>
      </c>
      <c r="J560" t="str">
        <f t="shared" si="32"/>
        <v>Low Risk</v>
      </c>
      <c r="K560" t="str">
        <f t="shared" si="33"/>
        <v>Young</v>
      </c>
      <c r="L560" t="str">
        <f t="shared" si="34"/>
        <v>Medium</v>
      </c>
      <c r="M560" t="str">
        <f t="shared" si="35"/>
        <v>Medium Risk</v>
      </c>
    </row>
    <row r="561" spans="1:13" x14ac:dyDescent="0.3">
      <c r="A561">
        <v>31</v>
      </c>
      <c r="B561" t="s">
        <v>1010</v>
      </c>
      <c r="C561">
        <v>1</v>
      </c>
      <c r="D561" t="s">
        <v>1016</v>
      </c>
      <c r="E561" t="s">
        <v>1012</v>
      </c>
      <c r="F561" t="s">
        <v>1013</v>
      </c>
      <c r="G561" s="5">
        <v>1928</v>
      </c>
      <c r="H561">
        <v>18</v>
      </c>
      <c r="I561" t="s">
        <v>1022</v>
      </c>
      <c r="J561" t="str">
        <f t="shared" si="32"/>
        <v>Low Risk</v>
      </c>
      <c r="K561" t="str">
        <f t="shared" si="33"/>
        <v>Senior</v>
      </c>
      <c r="L561" t="str">
        <f t="shared" si="34"/>
        <v>Medium</v>
      </c>
      <c r="M561" t="str">
        <f t="shared" si="35"/>
        <v>Low Risk</v>
      </c>
    </row>
    <row r="562" spans="1:13" x14ac:dyDescent="0.3">
      <c r="A562">
        <v>49</v>
      </c>
      <c r="B562" t="s">
        <v>1010</v>
      </c>
      <c r="C562">
        <v>2</v>
      </c>
      <c r="D562" t="s">
        <v>1015</v>
      </c>
      <c r="E562" t="s">
        <v>1011</v>
      </c>
      <c r="F562" t="s">
        <v>1012</v>
      </c>
      <c r="G562" s="5">
        <v>2964</v>
      </c>
      <c r="H562">
        <v>24</v>
      </c>
      <c r="I562" t="s">
        <v>1019</v>
      </c>
      <c r="J562" t="str">
        <f t="shared" si="32"/>
        <v>Low Risk</v>
      </c>
      <c r="K562" t="str">
        <f t="shared" si="33"/>
        <v>Senior</v>
      </c>
      <c r="L562" t="str">
        <f t="shared" si="34"/>
        <v>Medium</v>
      </c>
      <c r="M562" t="str">
        <f t="shared" si="35"/>
        <v>Low Risk</v>
      </c>
    </row>
    <row r="563" spans="1:13" x14ac:dyDescent="0.3">
      <c r="A563">
        <v>24</v>
      </c>
      <c r="B563" t="s">
        <v>1010</v>
      </c>
      <c r="C563">
        <v>1</v>
      </c>
      <c r="D563" t="s">
        <v>1017</v>
      </c>
      <c r="E563" t="s">
        <v>1012</v>
      </c>
      <c r="F563" t="s">
        <v>1012</v>
      </c>
      <c r="G563" s="5">
        <v>1546</v>
      </c>
      <c r="H563">
        <v>24</v>
      </c>
      <c r="I563" t="s">
        <v>1023</v>
      </c>
      <c r="J563" t="str">
        <f t="shared" si="32"/>
        <v>Low Risk</v>
      </c>
      <c r="K563" t="str">
        <f t="shared" si="33"/>
        <v>Young</v>
      </c>
      <c r="L563" t="str">
        <f t="shared" si="34"/>
        <v>Medium</v>
      </c>
      <c r="M563" t="str">
        <f t="shared" si="35"/>
        <v>Low Risk</v>
      </c>
    </row>
    <row r="564" spans="1:13" x14ac:dyDescent="0.3">
      <c r="A564">
        <v>29</v>
      </c>
      <c r="B564" t="s">
        <v>1009</v>
      </c>
      <c r="C564">
        <v>2</v>
      </c>
      <c r="D564" t="s">
        <v>1016</v>
      </c>
      <c r="E564" t="s">
        <v>1012</v>
      </c>
      <c r="F564" t="s">
        <v>1008</v>
      </c>
      <c r="G564" s="5">
        <v>683</v>
      </c>
      <c r="H564">
        <v>6</v>
      </c>
      <c r="I564" t="s">
        <v>1023</v>
      </c>
      <c r="J564" t="str">
        <f t="shared" si="32"/>
        <v>Low Risk</v>
      </c>
      <c r="K564" t="str">
        <f t="shared" si="33"/>
        <v>Young</v>
      </c>
      <c r="L564" t="str">
        <f t="shared" si="34"/>
        <v>Short</v>
      </c>
      <c r="M564" t="str">
        <f t="shared" si="35"/>
        <v>Low Risk</v>
      </c>
    </row>
    <row r="565" spans="1:13" x14ac:dyDescent="0.3">
      <c r="A565">
        <v>37</v>
      </c>
      <c r="B565" t="s">
        <v>1010</v>
      </c>
      <c r="C565">
        <v>2</v>
      </c>
      <c r="D565" t="s">
        <v>1015</v>
      </c>
      <c r="E565" t="s">
        <v>1011</v>
      </c>
      <c r="F565" t="s">
        <v>1013</v>
      </c>
      <c r="G565" s="5">
        <v>12389</v>
      </c>
      <c r="H565">
        <v>36</v>
      </c>
      <c r="I565" t="s">
        <v>1019</v>
      </c>
      <c r="J565" t="str">
        <f t="shared" si="32"/>
        <v>High Risk</v>
      </c>
      <c r="K565" t="str">
        <f t="shared" si="33"/>
        <v>Senior</v>
      </c>
      <c r="L565" t="str">
        <f t="shared" si="34"/>
        <v>Long</v>
      </c>
      <c r="M565" t="str">
        <f t="shared" si="35"/>
        <v>HighRisk</v>
      </c>
    </row>
    <row r="566" spans="1:13" x14ac:dyDescent="0.3">
      <c r="A566">
        <v>37</v>
      </c>
      <c r="B566" t="s">
        <v>1010</v>
      </c>
      <c r="C566">
        <v>3</v>
      </c>
      <c r="D566" t="s">
        <v>1016</v>
      </c>
      <c r="E566" t="s">
        <v>1011</v>
      </c>
      <c r="F566" t="s">
        <v>1013</v>
      </c>
      <c r="G566" s="5">
        <v>4712</v>
      </c>
      <c r="H566">
        <v>24</v>
      </c>
      <c r="I566" t="s">
        <v>1018</v>
      </c>
      <c r="J566" t="str">
        <f t="shared" si="32"/>
        <v>Low Risk</v>
      </c>
      <c r="K566" t="str">
        <f t="shared" si="33"/>
        <v>Senior</v>
      </c>
      <c r="L566" t="str">
        <f t="shared" si="34"/>
        <v>Medium</v>
      </c>
      <c r="M566" t="str">
        <f t="shared" si="35"/>
        <v>Medium Risk</v>
      </c>
    </row>
    <row r="567" spans="1:13" x14ac:dyDescent="0.3">
      <c r="A567">
        <v>23</v>
      </c>
      <c r="B567" t="s">
        <v>1009</v>
      </c>
      <c r="C567">
        <v>2</v>
      </c>
      <c r="D567" t="s">
        <v>1017</v>
      </c>
      <c r="E567" t="s">
        <v>1013</v>
      </c>
      <c r="F567" t="s">
        <v>1013</v>
      </c>
      <c r="G567" s="5">
        <v>1553</v>
      </c>
      <c r="H567">
        <v>24</v>
      </c>
      <c r="I567" t="s">
        <v>1023</v>
      </c>
      <c r="J567" t="str">
        <f t="shared" si="32"/>
        <v>Low Risk</v>
      </c>
      <c r="K567" t="str">
        <f t="shared" si="33"/>
        <v>Young</v>
      </c>
      <c r="L567" t="str">
        <f t="shared" si="34"/>
        <v>Medium</v>
      </c>
      <c r="M567" t="str">
        <f t="shared" si="35"/>
        <v>Low Risk</v>
      </c>
    </row>
    <row r="568" spans="1:13" x14ac:dyDescent="0.3">
      <c r="A568">
        <v>36</v>
      </c>
      <c r="B568" t="s">
        <v>1010</v>
      </c>
      <c r="C568">
        <v>2</v>
      </c>
      <c r="D568" t="s">
        <v>1016</v>
      </c>
      <c r="E568" t="s">
        <v>1012</v>
      </c>
      <c r="F568" t="s">
        <v>1012</v>
      </c>
      <c r="G568" s="5">
        <v>1372</v>
      </c>
      <c r="H568">
        <v>12</v>
      </c>
      <c r="I568" t="s">
        <v>1019</v>
      </c>
      <c r="J568" t="str">
        <f t="shared" si="32"/>
        <v>Low Risk</v>
      </c>
      <c r="K568" t="str">
        <f t="shared" si="33"/>
        <v>Senior</v>
      </c>
      <c r="L568" t="str">
        <f t="shared" si="34"/>
        <v>Medium</v>
      </c>
      <c r="M568" t="str">
        <f t="shared" si="35"/>
        <v>Low Risk</v>
      </c>
    </row>
    <row r="569" spans="1:13" x14ac:dyDescent="0.3">
      <c r="A569">
        <v>34</v>
      </c>
      <c r="B569" t="s">
        <v>1010</v>
      </c>
      <c r="C569">
        <v>2</v>
      </c>
      <c r="D569" t="s">
        <v>1016</v>
      </c>
      <c r="E569" t="s">
        <v>1008</v>
      </c>
      <c r="F569" t="s">
        <v>1011</v>
      </c>
      <c r="G569" s="5">
        <v>2578</v>
      </c>
      <c r="H569">
        <v>24</v>
      </c>
      <c r="I569" t="s">
        <v>1023</v>
      </c>
      <c r="J569" t="str">
        <f t="shared" si="32"/>
        <v>Low Risk</v>
      </c>
      <c r="K569" t="str">
        <f t="shared" si="33"/>
        <v>Senior</v>
      </c>
      <c r="L569" t="str">
        <f t="shared" si="34"/>
        <v>Medium</v>
      </c>
      <c r="M569" t="str">
        <f t="shared" si="35"/>
        <v>Low Risk</v>
      </c>
    </row>
    <row r="570" spans="1:13" x14ac:dyDescent="0.3">
      <c r="A570">
        <v>41</v>
      </c>
      <c r="B570" t="s">
        <v>1010</v>
      </c>
      <c r="C570">
        <v>2</v>
      </c>
      <c r="D570" t="s">
        <v>1016</v>
      </c>
      <c r="E570" t="s">
        <v>1011</v>
      </c>
      <c r="F570" t="s">
        <v>1013</v>
      </c>
      <c r="G570" s="5">
        <v>3979</v>
      </c>
      <c r="H570">
        <v>48</v>
      </c>
      <c r="I570" t="s">
        <v>1023</v>
      </c>
      <c r="J570" t="str">
        <f t="shared" si="32"/>
        <v>High Risk</v>
      </c>
      <c r="K570" t="str">
        <f t="shared" si="33"/>
        <v>Senior</v>
      </c>
      <c r="L570" t="str">
        <f t="shared" si="34"/>
        <v>Long</v>
      </c>
      <c r="M570" t="str">
        <f t="shared" si="35"/>
        <v>Medium Risk</v>
      </c>
    </row>
    <row r="571" spans="1:13" x14ac:dyDescent="0.3">
      <c r="A571">
        <v>31</v>
      </c>
      <c r="B571" t="s">
        <v>1009</v>
      </c>
      <c r="C571">
        <v>2</v>
      </c>
      <c r="D571" t="s">
        <v>1016</v>
      </c>
      <c r="E571" t="s">
        <v>1012</v>
      </c>
      <c r="F571" t="s">
        <v>1012</v>
      </c>
      <c r="G571" s="5">
        <v>6758</v>
      </c>
      <c r="H571">
        <v>48</v>
      </c>
      <c r="I571" t="s">
        <v>1023</v>
      </c>
      <c r="J571" t="str">
        <f t="shared" si="32"/>
        <v>High Risk</v>
      </c>
      <c r="K571" t="str">
        <f t="shared" si="33"/>
        <v>Senior</v>
      </c>
      <c r="L571" t="str">
        <f t="shared" si="34"/>
        <v>Long</v>
      </c>
      <c r="M571" t="str">
        <f t="shared" si="35"/>
        <v>HighRisk</v>
      </c>
    </row>
    <row r="572" spans="1:13" x14ac:dyDescent="0.3">
      <c r="A572">
        <v>23</v>
      </c>
      <c r="B572" t="s">
        <v>1009</v>
      </c>
      <c r="C572">
        <v>1</v>
      </c>
      <c r="D572" t="s">
        <v>1017</v>
      </c>
      <c r="E572" t="s">
        <v>1012</v>
      </c>
      <c r="F572" t="s">
        <v>1012</v>
      </c>
      <c r="G572" s="5">
        <v>3234</v>
      </c>
      <c r="H572">
        <v>24</v>
      </c>
      <c r="I572" t="s">
        <v>1022</v>
      </c>
      <c r="J572" t="str">
        <f t="shared" si="32"/>
        <v>Low Risk</v>
      </c>
      <c r="K572" t="str">
        <f t="shared" si="33"/>
        <v>Young</v>
      </c>
      <c r="L572" t="str">
        <f t="shared" si="34"/>
        <v>Medium</v>
      </c>
      <c r="M572" t="str">
        <f t="shared" si="35"/>
        <v>Medium Risk</v>
      </c>
    </row>
    <row r="573" spans="1:13" x14ac:dyDescent="0.3">
      <c r="A573">
        <v>38</v>
      </c>
      <c r="B573" t="s">
        <v>1010</v>
      </c>
      <c r="C573">
        <v>2</v>
      </c>
      <c r="D573" t="s">
        <v>1016</v>
      </c>
      <c r="E573" t="s">
        <v>1012</v>
      </c>
      <c r="F573" t="s">
        <v>1011</v>
      </c>
      <c r="G573" s="5">
        <v>5954</v>
      </c>
      <c r="H573">
        <v>30</v>
      </c>
      <c r="I573" t="s">
        <v>1023</v>
      </c>
      <c r="J573" t="str">
        <f t="shared" si="32"/>
        <v>Medium Risk</v>
      </c>
      <c r="K573" t="str">
        <f t="shared" si="33"/>
        <v>Senior</v>
      </c>
      <c r="L573" t="str">
        <f t="shared" si="34"/>
        <v>Medium</v>
      </c>
      <c r="M573" t="str">
        <f t="shared" si="35"/>
        <v>Medium Risk</v>
      </c>
    </row>
    <row r="574" spans="1:13" x14ac:dyDescent="0.3">
      <c r="A574">
        <v>26</v>
      </c>
      <c r="B574" t="s">
        <v>1009</v>
      </c>
      <c r="C574">
        <v>3</v>
      </c>
      <c r="D574" t="s">
        <v>1017</v>
      </c>
      <c r="E574" t="s">
        <v>1011</v>
      </c>
      <c r="F574" t="s">
        <v>1011</v>
      </c>
      <c r="G574" s="5">
        <v>5433</v>
      </c>
      <c r="H574">
        <v>24</v>
      </c>
      <c r="I574" t="s">
        <v>1019</v>
      </c>
      <c r="J574" t="str">
        <f t="shared" si="32"/>
        <v>Low Risk</v>
      </c>
      <c r="K574" t="str">
        <f t="shared" si="33"/>
        <v>Young</v>
      </c>
      <c r="L574" t="str">
        <f t="shared" si="34"/>
        <v>Medium</v>
      </c>
      <c r="M574" t="str">
        <f t="shared" si="35"/>
        <v>Medium Risk</v>
      </c>
    </row>
    <row r="575" spans="1:13" x14ac:dyDescent="0.3">
      <c r="A575">
        <v>22</v>
      </c>
      <c r="B575" t="s">
        <v>1009</v>
      </c>
      <c r="C575">
        <v>1</v>
      </c>
      <c r="D575" t="s">
        <v>1016</v>
      </c>
      <c r="E575" t="s">
        <v>1012</v>
      </c>
      <c r="F575" t="s">
        <v>1012</v>
      </c>
      <c r="G575" s="5">
        <v>806</v>
      </c>
      <c r="H575">
        <v>15</v>
      </c>
      <c r="I575" t="s">
        <v>1018</v>
      </c>
      <c r="J575" t="str">
        <f t="shared" si="32"/>
        <v>Low Risk</v>
      </c>
      <c r="K575" t="str">
        <f t="shared" si="33"/>
        <v>Young</v>
      </c>
      <c r="L575" t="str">
        <f t="shared" si="34"/>
        <v>Medium</v>
      </c>
      <c r="M575" t="str">
        <f t="shared" si="35"/>
        <v>Low Risk</v>
      </c>
    </row>
    <row r="576" spans="1:13" x14ac:dyDescent="0.3">
      <c r="A576">
        <v>27</v>
      </c>
      <c r="B576" t="s">
        <v>1010</v>
      </c>
      <c r="C576">
        <v>1</v>
      </c>
      <c r="D576" t="s">
        <v>1016</v>
      </c>
      <c r="E576" t="s">
        <v>1012</v>
      </c>
      <c r="F576" t="s">
        <v>1013</v>
      </c>
      <c r="G576" s="5">
        <v>1082</v>
      </c>
      <c r="H576">
        <v>9</v>
      </c>
      <c r="I576" t="s">
        <v>1023</v>
      </c>
      <c r="J576" t="str">
        <f t="shared" si="32"/>
        <v>Low Risk</v>
      </c>
      <c r="K576" t="str">
        <f t="shared" si="33"/>
        <v>Young</v>
      </c>
      <c r="L576" t="str">
        <f t="shared" si="34"/>
        <v>Short</v>
      </c>
      <c r="M576" t="str">
        <f t="shared" si="35"/>
        <v>Low Risk</v>
      </c>
    </row>
    <row r="577" spans="1:13" x14ac:dyDescent="0.3">
      <c r="A577">
        <v>24</v>
      </c>
      <c r="B577" t="s">
        <v>1009</v>
      </c>
      <c r="C577">
        <v>2</v>
      </c>
      <c r="D577" t="s">
        <v>1016</v>
      </c>
      <c r="E577" t="s">
        <v>1012</v>
      </c>
      <c r="F577" t="s">
        <v>1011</v>
      </c>
      <c r="G577" s="5">
        <v>2788</v>
      </c>
      <c r="H577">
        <v>15</v>
      </c>
      <c r="I577" t="s">
        <v>1022</v>
      </c>
      <c r="J577" t="str">
        <f t="shared" si="32"/>
        <v>Low Risk</v>
      </c>
      <c r="K577" t="str">
        <f t="shared" si="33"/>
        <v>Young</v>
      </c>
      <c r="L577" t="str">
        <f t="shared" si="34"/>
        <v>Medium</v>
      </c>
      <c r="M577" t="str">
        <f t="shared" si="35"/>
        <v>Low Risk</v>
      </c>
    </row>
    <row r="578" spans="1:13" x14ac:dyDescent="0.3">
      <c r="A578">
        <v>27</v>
      </c>
      <c r="B578" t="s">
        <v>1009</v>
      </c>
      <c r="C578">
        <v>2</v>
      </c>
      <c r="D578" t="s">
        <v>1016</v>
      </c>
      <c r="E578" t="s">
        <v>1012</v>
      </c>
      <c r="F578" t="s">
        <v>1013</v>
      </c>
      <c r="G578" s="5">
        <v>2930</v>
      </c>
      <c r="H578">
        <v>12</v>
      </c>
      <c r="I578" t="s">
        <v>1023</v>
      </c>
      <c r="J578" t="str">
        <f t="shared" si="32"/>
        <v>Low Risk</v>
      </c>
      <c r="K578" t="str">
        <f t="shared" si="33"/>
        <v>Young</v>
      </c>
      <c r="L578" t="str">
        <f t="shared" si="34"/>
        <v>Medium</v>
      </c>
      <c r="M578" t="str">
        <f t="shared" si="35"/>
        <v>Low Risk</v>
      </c>
    </row>
    <row r="579" spans="1:13" x14ac:dyDescent="0.3">
      <c r="A579">
        <v>33</v>
      </c>
      <c r="B579" t="s">
        <v>1009</v>
      </c>
      <c r="C579">
        <v>2</v>
      </c>
      <c r="D579" t="s">
        <v>1016</v>
      </c>
      <c r="E579" t="s">
        <v>1011</v>
      </c>
      <c r="F579" t="s">
        <v>1011</v>
      </c>
      <c r="G579" s="5">
        <v>1927</v>
      </c>
      <c r="H579">
        <v>24</v>
      </c>
      <c r="I579" t="s">
        <v>1021</v>
      </c>
      <c r="J579" t="str">
        <f t="shared" ref="J579:J642" si="36">IF(OR(G579&gt;7000,H579&gt;36),"High Risk",
IF(AND(G579&gt;4000,H579&gt;24),"Medium Risk",
"Low Risk"))</f>
        <v>Low Risk</v>
      </c>
      <c r="K579" t="str">
        <f t="shared" ref="K579:K642" si="37">IF(A579&lt;30,"Young",IF(A579&gt;50,"Adult","Senior"))</f>
        <v>Senior</v>
      </c>
      <c r="L579" t="str">
        <f t="shared" ref="L579:L642" si="38">IF(H579&lt;12,"Short",IF(H579&lt;36,"Medium","Long"))</f>
        <v>Medium</v>
      </c>
      <c r="M579" t="str">
        <f t="shared" ref="M579:M642" si="39">IF(G579&lt;3000,"Low Risk",IF(G579&lt;=6000,"Medium Risk","HighRisk"))</f>
        <v>Low Risk</v>
      </c>
    </row>
    <row r="580" spans="1:13" x14ac:dyDescent="0.3">
      <c r="A580">
        <v>27</v>
      </c>
      <c r="B580" t="s">
        <v>1010</v>
      </c>
      <c r="C580">
        <v>2</v>
      </c>
      <c r="D580" t="s">
        <v>1016</v>
      </c>
      <c r="E580" t="s">
        <v>1012</v>
      </c>
      <c r="F580" t="s">
        <v>1013</v>
      </c>
      <c r="G580" s="5">
        <v>2820</v>
      </c>
      <c r="H580">
        <v>36</v>
      </c>
      <c r="I580" t="s">
        <v>1019</v>
      </c>
      <c r="J580" t="str">
        <f t="shared" si="36"/>
        <v>Low Risk</v>
      </c>
      <c r="K580" t="str">
        <f t="shared" si="37"/>
        <v>Young</v>
      </c>
      <c r="L580" t="str">
        <f t="shared" si="38"/>
        <v>Long</v>
      </c>
      <c r="M580" t="str">
        <f t="shared" si="39"/>
        <v>Low Risk</v>
      </c>
    </row>
    <row r="581" spans="1:13" x14ac:dyDescent="0.3">
      <c r="A581">
        <v>27</v>
      </c>
      <c r="B581" t="s">
        <v>1010</v>
      </c>
      <c r="C581">
        <v>1</v>
      </c>
      <c r="D581" t="s">
        <v>1016</v>
      </c>
      <c r="E581" t="s">
        <v>1012</v>
      </c>
      <c r="F581" t="s">
        <v>1011</v>
      </c>
      <c r="G581" s="5">
        <v>937</v>
      </c>
      <c r="H581">
        <v>24</v>
      </c>
      <c r="I581" t="s">
        <v>1021</v>
      </c>
      <c r="J581" t="str">
        <f t="shared" si="36"/>
        <v>Low Risk</v>
      </c>
      <c r="K581" t="str">
        <f t="shared" si="37"/>
        <v>Young</v>
      </c>
      <c r="L581" t="str">
        <f t="shared" si="38"/>
        <v>Medium</v>
      </c>
      <c r="M581" t="str">
        <f t="shared" si="39"/>
        <v>Low Risk</v>
      </c>
    </row>
    <row r="582" spans="1:13" x14ac:dyDescent="0.3">
      <c r="A582">
        <v>30</v>
      </c>
      <c r="B582" t="s">
        <v>1010</v>
      </c>
      <c r="C582">
        <v>2</v>
      </c>
      <c r="D582" t="s">
        <v>1016</v>
      </c>
      <c r="E582" t="s">
        <v>1012</v>
      </c>
      <c r="F582" t="s">
        <v>1013</v>
      </c>
      <c r="G582" s="5">
        <v>1056</v>
      </c>
      <c r="H582">
        <v>18</v>
      </c>
      <c r="I582" t="s">
        <v>1019</v>
      </c>
      <c r="J582" t="str">
        <f t="shared" si="36"/>
        <v>Low Risk</v>
      </c>
      <c r="K582" t="str">
        <f t="shared" si="37"/>
        <v>Senior</v>
      </c>
      <c r="L582" t="str">
        <f t="shared" si="38"/>
        <v>Medium</v>
      </c>
      <c r="M582" t="str">
        <f t="shared" si="39"/>
        <v>Low Risk</v>
      </c>
    </row>
    <row r="583" spans="1:13" x14ac:dyDescent="0.3">
      <c r="A583">
        <v>49</v>
      </c>
      <c r="B583" t="s">
        <v>1010</v>
      </c>
      <c r="C583">
        <v>1</v>
      </c>
      <c r="D583" t="s">
        <v>1016</v>
      </c>
      <c r="E583" t="s">
        <v>1012</v>
      </c>
      <c r="F583" t="s">
        <v>1013</v>
      </c>
      <c r="G583" s="5">
        <v>3124</v>
      </c>
      <c r="H583">
        <v>12</v>
      </c>
      <c r="I583" t="s">
        <v>1019</v>
      </c>
      <c r="J583" t="str">
        <f t="shared" si="36"/>
        <v>Low Risk</v>
      </c>
      <c r="K583" t="str">
        <f t="shared" si="37"/>
        <v>Senior</v>
      </c>
      <c r="L583" t="str">
        <f t="shared" si="38"/>
        <v>Medium</v>
      </c>
      <c r="M583" t="str">
        <f t="shared" si="39"/>
        <v>Medium Risk</v>
      </c>
    </row>
    <row r="584" spans="1:13" x14ac:dyDescent="0.3">
      <c r="A584">
        <v>26</v>
      </c>
      <c r="B584" t="s">
        <v>1009</v>
      </c>
      <c r="C584">
        <v>2</v>
      </c>
      <c r="D584" t="s">
        <v>1017</v>
      </c>
      <c r="E584" t="s">
        <v>1012</v>
      </c>
      <c r="F584" t="s">
        <v>1011</v>
      </c>
      <c r="G584" s="5">
        <v>1388</v>
      </c>
      <c r="H584">
        <v>9</v>
      </c>
      <c r="I584" t="s">
        <v>1022</v>
      </c>
      <c r="J584" t="str">
        <f t="shared" si="36"/>
        <v>Low Risk</v>
      </c>
      <c r="K584" t="str">
        <f t="shared" si="37"/>
        <v>Young</v>
      </c>
      <c r="L584" t="str">
        <f t="shared" si="38"/>
        <v>Short</v>
      </c>
      <c r="M584" t="str">
        <f t="shared" si="39"/>
        <v>Low Risk</v>
      </c>
    </row>
    <row r="585" spans="1:13" x14ac:dyDescent="0.3">
      <c r="A585">
        <v>33</v>
      </c>
      <c r="B585" t="s">
        <v>1010</v>
      </c>
      <c r="C585">
        <v>1</v>
      </c>
      <c r="D585" t="s">
        <v>1017</v>
      </c>
      <c r="E585" t="s">
        <v>1012</v>
      </c>
      <c r="F585" t="s">
        <v>1013</v>
      </c>
      <c r="G585" s="5">
        <v>2384</v>
      </c>
      <c r="H585">
        <v>36</v>
      </c>
      <c r="I585" t="s">
        <v>1024</v>
      </c>
      <c r="J585" t="str">
        <f t="shared" si="36"/>
        <v>Low Risk</v>
      </c>
      <c r="K585" t="str">
        <f t="shared" si="37"/>
        <v>Senior</v>
      </c>
      <c r="L585" t="str">
        <f t="shared" si="38"/>
        <v>Long</v>
      </c>
      <c r="M585" t="str">
        <f t="shared" si="39"/>
        <v>Low Risk</v>
      </c>
    </row>
    <row r="586" spans="1:13" x14ac:dyDescent="0.3">
      <c r="A586">
        <v>52</v>
      </c>
      <c r="B586" t="s">
        <v>1009</v>
      </c>
      <c r="C586">
        <v>3</v>
      </c>
      <c r="D586" t="s">
        <v>1015</v>
      </c>
      <c r="E586" t="s">
        <v>1011</v>
      </c>
      <c r="F586" t="s">
        <v>1011</v>
      </c>
      <c r="G586" s="5">
        <v>2133</v>
      </c>
      <c r="H586">
        <v>12</v>
      </c>
      <c r="I586" t="s">
        <v>1019</v>
      </c>
      <c r="J586" t="str">
        <f t="shared" si="36"/>
        <v>Low Risk</v>
      </c>
      <c r="K586" t="str">
        <f t="shared" si="37"/>
        <v>Adult</v>
      </c>
      <c r="L586" t="str">
        <f t="shared" si="38"/>
        <v>Medium</v>
      </c>
      <c r="M586" t="str">
        <f t="shared" si="39"/>
        <v>Low Risk</v>
      </c>
    </row>
    <row r="587" spans="1:13" x14ac:dyDescent="0.3">
      <c r="A587">
        <v>20</v>
      </c>
      <c r="B587" t="s">
        <v>1009</v>
      </c>
      <c r="C587">
        <v>2</v>
      </c>
      <c r="D587" t="s">
        <v>1017</v>
      </c>
      <c r="E587" t="s">
        <v>1012</v>
      </c>
      <c r="F587" t="s">
        <v>1012</v>
      </c>
      <c r="G587" s="5">
        <v>2039</v>
      </c>
      <c r="H587">
        <v>18</v>
      </c>
      <c r="I587" t="s">
        <v>1022</v>
      </c>
      <c r="J587" t="str">
        <f t="shared" si="36"/>
        <v>Low Risk</v>
      </c>
      <c r="K587" t="str">
        <f t="shared" si="37"/>
        <v>Young</v>
      </c>
      <c r="L587" t="str">
        <f t="shared" si="38"/>
        <v>Medium</v>
      </c>
      <c r="M587" t="str">
        <f t="shared" si="39"/>
        <v>Low Risk</v>
      </c>
    </row>
    <row r="588" spans="1:13" x14ac:dyDescent="0.3">
      <c r="A588">
        <v>36</v>
      </c>
      <c r="B588" t="s">
        <v>1010</v>
      </c>
      <c r="C588">
        <v>2</v>
      </c>
      <c r="D588" t="s">
        <v>1017</v>
      </c>
      <c r="E588" t="s">
        <v>1012</v>
      </c>
      <c r="F588" t="s">
        <v>1012</v>
      </c>
      <c r="G588" s="5">
        <v>2799</v>
      </c>
      <c r="H588">
        <v>9</v>
      </c>
      <c r="I588" t="s">
        <v>1019</v>
      </c>
      <c r="J588" t="str">
        <f t="shared" si="36"/>
        <v>Low Risk</v>
      </c>
      <c r="K588" t="str">
        <f t="shared" si="37"/>
        <v>Senior</v>
      </c>
      <c r="L588" t="str">
        <f t="shared" si="38"/>
        <v>Short</v>
      </c>
      <c r="M588" t="str">
        <f t="shared" si="39"/>
        <v>Low Risk</v>
      </c>
    </row>
    <row r="589" spans="1:13" x14ac:dyDescent="0.3">
      <c r="A589">
        <v>21</v>
      </c>
      <c r="B589" t="s">
        <v>1010</v>
      </c>
      <c r="C589">
        <v>1</v>
      </c>
      <c r="D589" t="s">
        <v>1016</v>
      </c>
      <c r="E589" t="s">
        <v>1012</v>
      </c>
      <c r="F589" t="s">
        <v>1012</v>
      </c>
      <c r="G589" s="5">
        <v>1289</v>
      </c>
      <c r="H589">
        <v>12</v>
      </c>
      <c r="I589" t="s">
        <v>1022</v>
      </c>
      <c r="J589" t="str">
        <f t="shared" si="36"/>
        <v>Low Risk</v>
      </c>
      <c r="K589" t="str">
        <f t="shared" si="37"/>
        <v>Young</v>
      </c>
      <c r="L589" t="str">
        <f t="shared" si="38"/>
        <v>Medium</v>
      </c>
      <c r="M589" t="str">
        <f t="shared" si="39"/>
        <v>Low Risk</v>
      </c>
    </row>
    <row r="590" spans="1:13" x14ac:dyDescent="0.3">
      <c r="A590">
        <v>47</v>
      </c>
      <c r="B590" t="s">
        <v>1010</v>
      </c>
      <c r="C590">
        <v>1</v>
      </c>
      <c r="D590" t="s">
        <v>1016</v>
      </c>
      <c r="E590" t="s">
        <v>1012</v>
      </c>
      <c r="F590" t="s">
        <v>1012</v>
      </c>
      <c r="G590" s="5">
        <v>1217</v>
      </c>
      <c r="H590">
        <v>18</v>
      </c>
      <c r="I590" t="s">
        <v>1020</v>
      </c>
      <c r="J590" t="str">
        <f t="shared" si="36"/>
        <v>Low Risk</v>
      </c>
      <c r="K590" t="str">
        <f t="shared" si="37"/>
        <v>Senior</v>
      </c>
      <c r="L590" t="str">
        <f t="shared" si="38"/>
        <v>Medium</v>
      </c>
      <c r="M590" t="str">
        <f t="shared" si="39"/>
        <v>Low Risk</v>
      </c>
    </row>
    <row r="591" spans="1:13" x14ac:dyDescent="0.3">
      <c r="A591">
        <v>60</v>
      </c>
      <c r="B591" t="s">
        <v>1010</v>
      </c>
      <c r="C591">
        <v>2</v>
      </c>
      <c r="D591" t="s">
        <v>1016</v>
      </c>
      <c r="E591" t="s">
        <v>1012</v>
      </c>
      <c r="F591" t="s">
        <v>1012</v>
      </c>
      <c r="G591" s="5">
        <v>2246</v>
      </c>
      <c r="H591">
        <v>12</v>
      </c>
      <c r="I591" t="s">
        <v>1022</v>
      </c>
      <c r="J591" t="str">
        <f t="shared" si="36"/>
        <v>Low Risk</v>
      </c>
      <c r="K591" t="str">
        <f t="shared" si="37"/>
        <v>Adult</v>
      </c>
      <c r="L591" t="str">
        <f t="shared" si="38"/>
        <v>Medium</v>
      </c>
      <c r="M591" t="str">
        <f t="shared" si="39"/>
        <v>Low Risk</v>
      </c>
    </row>
    <row r="592" spans="1:13" x14ac:dyDescent="0.3">
      <c r="A592">
        <v>58</v>
      </c>
      <c r="B592" t="s">
        <v>1009</v>
      </c>
      <c r="C592">
        <v>1</v>
      </c>
      <c r="D592" t="s">
        <v>1016</v>
      </c>
      <c r="E592" t="s">
        <v>1012</v>
      </c>
      <c r="F592" t="s">
        <v>1012</v>
      </c>
      <c r="G592" s="5">
        <v>385</v>
      </c>
      <c r="H592">
        <v>12</v>
      </c>
      <c r="I592" t="s">
        <v>1023</v>
      </c>
      <c r="J592" t="str">
        <f t="shared" si="36"/>
        <v>Low Risk</v>
      </c>
      <c r="K592" t="str">
        <f t="shared" si="37"/>
        <v>Adult</v>
      </c>
      <c r="L592" t="str">
        <f t="shared" si="38"/>
        <v>Medium</v>
      </c>
      <c r="M592" t="str">
        <f t="shared" si="39"/>
        <v>Low Risk</v>
      </c>
    </row>
    <row r="593" spans="1:13" x14ac:dyDescent="0.3">
      <c r="A593">
        <v>42</v>
      </c>
      <c r="B593" t="s">
        <v>1009</v>
      </c>
      <c r="C593">
        <v>2</v>
      </c>
      <c r="D593" t="s">
        <v>1017</v>
      </c>
      <c r="E593" t="s">
        <v>1011</v>
      </c>
      <c r="F593" t="s">
        <v>1013</v>
      </c>
      <c r="G593" s="5">
        <v>1965</v>
      </c>
      <c r="H593">
        <v>24</v>
      </c>
      <c r="I593" t="s">
        <v>1019</v>
      </c>
      <c r="J593" t="str">
        <f t="shared" si="36"/>
        <v>Low Risk</v>
      </c>
      <c r="K593" t="str">
        <f t="shared" si="37"/>
        <v>Senior</v>
      </c>
      <c r="L593" t="str">
        <f t="shared" si="38"/>
        <v>Medium</v>
      </c>
      <c r="M593" t="str">
        <f t="shared" si="39"/>
        <v>Low Risk</v>
      </c>
    </row>
    <row r="594" spans="1:13" x14ac:dyDescent="0.3">
      <c r="A594">
        <v>36</v>
      </c>
      <c r="B594" t="s">
        <v>1009</v>
      </c>
      <c r="C594">
        <v>1</v>
      </c>
      <c r="D594" t="s">
        <v>1016</v>
      </c>
      <c r="E594" t="s">
        <v>1008</v>
      </c>
      <c r="F594" t="s">
        <v>1011</v>
      </c>
      <c r="G594" s="5">
        <v>1572</v>
      </c>
      <c r="H594">
        <v>21</v>
      </c>
      <c r="I594" t="s">
        <v>1018</v>
      </c>
      <c r="J594" t="str">
        <f t="shared" si="36"/>
        <v>Low Risk</v>
      </c>
      <c r="K594" t="str">
        <f t="shared" si="37"/>
        <v>Senior</v>
      </c>
      <c r="L594" t="str">
        <f t="shared" si="38"/>
        <v>Medium</v>
      </c>
      <c r="M594" t="str">
        <f t="shared" si="39"/>
        <v>Low Risk</v>
      </c>
    </row>
    <row r="595" spans="1:13" x14ac:dyDescent="0.3">
      <c r="A595">
        <v>20</v>
      </c>
      <c r="B595" t="s">
        <v>1009</v>
      </c>
      <c r="C595">
        <v>1</v>
      </c>
      <c r="D595" t="s">
        <v>1017</v>
      </c>
      <c r="E595" t="s">
        <v>1012</v>
      </c>
      <c r="F595" t="s">
        <v>1013</v>
      </c>
      <c r="G595" s="5">
        <v>2718</v>
      </c>
      <c r="H595">
        <v>24</v>
      </c>
      <c r="I595" t="s">
        <v>1019</v>
      </c>
      <c r="J595" t="str">
        <f t="shared" si="36"/>
        <v>Low Risk</v>
      </c>
      <c r="K595" t="str">
        <f t="shared" si="37"/>
        <v>Young</v>
      </c>
      <c r="L595" t="str">
        <f t="shared" si="38"/>
        <v>Medium</v>
      </c>
      <c r="M595" t="str">
        <f t="shared" si="39"/>
        <v>Low Risk</v>
      </c>
    </row>
    <row r="596" spans="1:13" x14ac:dyDescent="0.3">
      <c r="A596">
        <v>40</v>
      </c>
      <c r="B596" t="s">
        <v>1010</v>
      </c>
      <c r="C596">
        <v>3</v>
      </c>
      <c r="D596" t="s">
        <v>1016</v>
      </c>
      <c r="E596" t="s">
        <v>1011</v>
      </c>
      <c r="F596" t="s">
        <v>1012</v>
      </c>
      <c r="G596" s="5">
        <v>1358</v>
      </c>
      <c r="H596">
        <v>24</v>
      </c>
      <c r="I596" t="s">
        <v>1025</v>
      </c>
      <c r="J596" t="str">
        <f t="shared" si="36"/>
        <v>Low Risk</v>
      </c>
      <c r="K596" t="str">
        <f t="shared" si="37"/>
        <v>Senior</v>
      </c>
      <c r="L596" t="str">
        <f t="shared" si="38"/>
        <v>Medium</v>
      </c>
      <c r="M596" t="str">
        <f t="shared" si="39"/>
        <v>Low Risk</v>
      </c>
    </row>
    <row r="597" spans="1:13" x14ac:dyDescent="0.3">
      <c r="A597">
        <v>32</v>
      </c>
      <c r="B597" t="s">
        <v>1009</v>
      </c>
      <c r="C597">
        <v>1</v>
      </c>
      <c r="D597" t="s">
        <v>1016</v>
      </c>
      <c r="E597" t="s">
        <v>1013</v>
      </c>
      <c r="F597" t="s">
        <v>1013</v>
      </c>
      <c r="G597" s="5">
        <v>931</v>
      </c>
      <c r="H597">
        <v>6</v>
      </c>
      <c r="I597" t="s">
        <v>1019</v>
      </c>
      <c r="J597" t="str">
        <f t="shared" si="36"/>
        <v>Low Risk</v>
      </c>
      <c r="K597" t="str">
        <f t="shared" si="37"/>
        <v>Senior</v>
      </c>
      <c r="L597" t="str">
        <f t="shared" si="38"/>
        <v>Short</v>
      </c>
      <c r="M597" t="str">
        <f t="shared" si="39"/>
        <v>Low Risk</v>
      </c>
    </row>
    <row r="598" spans="1:13" x14ac:dyDescent="0.3">
      <c r="A598">
        <v>23</v>
      </c>
      <c r="B598" t="s">
        <v>1009</v>
      </c>
      <c r="C598">
        <v>2</v>
      </c>
      <c r="D598" t="s">
        <v>1017</v>
      </c>
      <c r="E598" t="s">
        <v>1012</v>
      </c>
      <c r="F598" t="s">
        <v>1012</v>
      </c>
      <c r="G598" s="5">
        <v>1442</v>
      </c>
      <c r="H598">
        <v>24</v>
      </c>
      <c r="I598" t="s">
        <v>1019</v>
      </c>
      <c r="J598" t="str">
        <f t="shared" si="36"/>
        <v>Low Risk</v>
      </c>
      <c r="K598" t="str">
        <f t="shared" si="37"/>
        <v>Young</v>
      </c>
      <c r="L598" t="str">
        <f t="shared" si="38"/>
        <v>Medium</v>
      </c>
      <c r="M598" t="str">
        <f t="shared" si="39"/>
        <v>Low Risk</v>
      </c>
    </row>
    <row r="599" spans="1:13" x14ac:dyDescent="0.3">
      <c r="A599">
        <v>36</v>
      </c>
      <c r="B599" t="s">
        <v>1010</v>
      </c>
      <c r="C599">
        <v>1</v>
      </c>
      <c r="D599" t="s">
        <v>1016</v>
      </c>
      <c r="E599" t="s">
        <v>1012</v>
      </c>
      <c r="F599" t="s">
        <v>1013</v>
      </c>
      <c r="G599" s="5">
        <v>4241</v>
      </c>
      <c r="H599">
        <v>24</v>
      </c>
      <c r="I599" t="s">
        <v>1018</v>
      </c>
      <c r="J599" t="str">
        <f t="shared" si="36"/>
        <v>Low Risk</v>
      </c>
      <c r="K599" t="str">
        <f t="shared" si="37"/>
        <v>Senior</v>
      </c>
      <c r="L599" t="str">
        <f t="shared" si="38"/>
        <v>Medium</v>
      </c>
      <c r="M599" t="str">
        <f t="shared" si="39"/>
        <v>Medium Risk</v>
      </c>
    </row>
    <row r="600" spans="1:13" x14ac:dyDescent="0.3">
      <c r="A600">
        <v>31</v>
      </c>
      <c r="B600" t="s">
        <v>1010</v>
      </c>
      <c r="C600">
        <v>2</v>
      </c>
      <c r="D600" t="s">
        <v>1016</v>
      </c>
      <c r="E600" t="s">
        <v>1012</v>
      </c>
      <c r="F600" t="s">
        <v>1011</v>
      </c>
      <c r="G600" s="5">
        <v>2775</v>
      </c>
      <c r="H600">
        <v>18</v>
      </c>
      <c r="I600" t="s">
        <v>1019</v>
      </c>
      <c r="J600" t="str">
        <f t="shared" si="36"/>
        <v>Low Risk</v>
      </c>
      <c r="K600" t="str">
        <f t="shared" si="37"/>
        <v>Senior</v>
      </c>
      <c r="L600" t="str">
        <f t="shared" si="38"/>
        <v>Medium</v>
      </c>
      <c r="M600" t="str">
        <f t="shared" si="39"/>
        <v>Low Risk</v>
      </c>
    </row>
    <row r="601" spans="1:13" x14ac:dyDescent="0.3">
      <c r="A601">
        <v>32</v>
      </c>
      <c r="B601" t="s">
        <v>1010</v>
      </c>
      <c r="C601">
        <v>2</v>
      </c>
      <c r="D601" t="s">
        <v>1015</v>
      </c>
      <c r="E601" t="s">
        <v>1012</v>
      </c>
      <c r="F601" t="s">
        <v>1011</v>
      </c>
      <c r="G601" s="5">
        <v>3863</v>
      </c>
      <c r="H601">
        <v>24</v>
      </c>
      <c r="I601" t="s">
        <v>1018</v>
      </c>
      <c r="J601" t="str">
        <f t="shared" si="36"/>
        <v>Low Risk</v>
      </c>
      <c r="K601" t="str">
        <f t="shared" si="37"/>
        <v>Senior</v>
      </c>
      <c r="L601" t="str">
        <f t="shared" si="38"/>
        <v>Medium</v>
      </c>
      <c r="M601" t="str">
        <f t="shared" si="39"/>
        <v>Medium Risk</v>
      </c>
    </row>
    <row r="602" spans="1:13" x14ac:dyDescent="0.3">
      <c r="A602">
        <v>45</v>
      </c>
      <c r="B602" t="s">
        <v>1009</v>
      </c>
      <c r="C602">
        <v>2</v>
      </c>
      <c r="D602" t="s">
        <v>1016</v>
      </c>
      <c r="E602" t="s">
        <v>1012</v>
      </c>
      <c r="F602" t="s">
        <v>1013</v>
      </c>
      <c r="G602" s="5">
        <v>2329</v>
      </c>
      <c r="H602">
        <v>7</v>
      </c>
      <c r="I602" t="s">
        <v>1023</v>
      </c>
      <c r="J602" t="str">
        <f t="shared" si="36"/>
        <v>Low Risk</v>
      </c>
      <c r="K602" t="str">
        <f t="shared" si="37"/>
        <v>Senior</v>
      </c>
      <c r="L602" t="str">
        <f t="shared" si="38"/>
        <v>Short</v>
      </c>
      <c r="M602" t="str">
        <f t="shared" si="39"/>
        <v>Low Risk</v>
      </c>
    </row>
    <row r="603" spans="1:13" x14ac:dyDescent="0.3">
      <c r="A603">
        <v>30</v>
      </c>
      <c r="B603" t="s">
        <v>1009</v>
      </c>
      <c r="C603">
        <v>2</v>
      </c>
      <c r="D603" t="s">
        <v>1016</v>
      </c>
      <c r="E603" t="s">
        <v>1012</v>
      </c>
      <c r="F603" t="s">
        <v>1013</v>
      </c>
      <c r="G603" s="5">
        <v>918</v>
      </c>
      <c r="H603">
        <v>9</v>
      </c>
      <c r="I603" t="s">
        <v>1022</v>
      </c>
      <c r="J603" t="str">
        <f t="shared" si="36"/>
        <v>Low Risk</v>
      </c>
      <c r="K603" t="str">
        <f t="shared" si="37"/>
        <v>Senior</v>
      </c>
      <c r="L603" t="str">
        <f t="shared" si="38"/>
        <v>Short</v>
      </c>
      <c r="M603" t="str">
        <f t="shared" si="39"/>
        <v>Low Risk</v>
      </c>
    </row>
    <row r="604" spans="1:13" x14ac:dyDescent="0.3">
      <c r="A604">
        <v>34</v>
      </c>
      <c r="B604" t="s">
        <v>1009</v>
      </c>
      <c r="C604">
        <v>1</v>
      </c>
      <c r="D604" t="s">
        <v>1015</v>
      </c>
      <c r="E604" t="s">
        <v>1012</v>
      </c>
      <c r="F604" t="s">
        <v>1013</v>
      </c>
      <c r="G604" s="5">
        <v>1837</v>
      </c>
      <c r="H604">
        <v>24</v>
      </c>
      <c r="I604" t="s">
        <v>1021</v>
      </c>
      <c r="J604" t="str">
        <f t="shared" si="36"/>
        <v>Low Risk</v>
      </c>
      <c r="K604" t="str">
        <f t="shared" si="37"/>
        <v>Senior</v>
      </c>
      <c r="L604" t="str">
        <f t="shared" si="38"/>
        <v>Medium</v>
      </c>
      <c r="M604" t="str">
        <f t="shared" si="39"/>
        <v>Low Risk</v>
      </c>
    </row>
    <row r="605" spans="1:13" x14ac:dyDescent="0.3">
      <c r="A605">
        <v>28</v>
      </c>
      <c r="B605" t="s">
        <v>1009</v>
      </c>
      <c r="C605">
        <v>3</v>
      </c>
      <c r="D605" t="s">
        <v>1016</v>
      </c>
      <c r="E605" t="s">
        <v>1012</v>
      </c>
      <c r="F605" t="s">
        <v>1011</v>
      </c>
      <c r="G605" s="5">
        <v>3349</v>
      </c>
      <c r="H605">
        <v>36</v>
      </c>
      <c r="I605" t="s">
        <v>1022</v>
      </c>
      <c r="J605" t="str">
        <f t="shared" si="36"/>
        <v>Low Risk</v>
      </c>
      <c r="K605" t="str">
        <f t="shared" si="37"/>
        <v>Young</v>
      </c>
      <c r="L605" t="str">
        <f t="shared" si="38"/>
        <v>Long</v>
      </c>
      <c r="M605" t="str">
        <f t="shared" si="39"/>
        <v>Medium Risk</v>
      </c>
    </row>
    <row r="606" spans="1:13" x14ac:dyDescent="0.3">
      <c r="A606">
        <v>23</v>
      </c>
      <c r="B606" t="s">
        <v>1009</v>
      </c>
      <c r="C606">
        <v>2</v>
      </c>
      <c r="D606" t="s">
        <v>1016</v>
      </c>
      <c r="E606" t="s">
        <v>1012</v>
      </c>
      <c r="F606" t="s">
        <v>1008</v>
      </c>
      <c r="G606" s="5">
        <v>1275</v>
      </c>
      <c r="H606">
        <v>10</v>
      </c>
      <c r="I606" t="s">
        <v>1022</v>
      </c>
      <c r="J606" t="str">
        <f t="shared" si="36"/>
        <v>Low Risk</v>
      </c>
      <c r="K606" t="str">
        <f t="shared" si="37"/>
        <v>Young</v>
      </c>
      <c r="L606" t="str">
        <f t="shared" si="38"/>
        <v>Short</v>
      </c>
      <c r="M606" t="str">
        <f t="shared" si="39"/>
        <v>Low Risk</v>
      </c>
    </row>
    <row r="607" spans="1:13" x14ac:dyDescent="0.3">
      <c r="A607">
        <v>22</v>
      </c>
      <c r="B607" t="s">
        <v>1010</v>
      </c>
      <c r="C607">
        <v>2</v>
      </c>
      <c r="D607" t="s">
        <v>1016</v>
      </c>
      <c r="E607" t="s">
        <v>1014</v>
      </c>
      <c r="F607" t="s">
        <v>1012</v>
      </c>
      <c r="G607" s="5">
        <v>2828</v>
      </c>
      <c r="H607">
        <v>24</v>
      </c>
      <c r="I607" t="s">
        <v>1022</v>
      </c>
      <c r="J607" t="str">
        <f t="shared" si="36"/>
        <v>Low Risk</v>
      </c>
      <c r="K607" t="str">
        <f t="shared" si="37"/>
        <v>Young</v>
      </c>
      <c r="L607" t="str">
        <f t="shared" si="38"/>
        <v>Medium</v>
      </c>
      <c r="M607" t="str">
        <f t="shared" si="39"/>
        <v>Low Risk</v>
      </c>
    </row>
    <row r="608" spans="1:13" x14ac:dyDescent="0.3">
      <c r="A608">
        <v>74</v>
      </c>
      <c r="B608" t="s">
        <v>1010</v>
      </c>
      <c r="C608">
        <v>3</v>
      </c>
      <c r="D608" t="s">
        <v>1016</v>
      </c>
      <c r="E608" t="s">
        <v>1012</v>
      </c>
      <c r="F608" t="s">
        <v>1011</v>
      </c>
      <c r="G608" s="5">
        <v>4526</v>
      </c>
      <c r="H608">
        <v>24</v>
      </c>
      <c r="I608" t="s">
        <v>1018</v>
      </c>
      <c r="J608" t="str">
        <f t="shared" si="36"/>
        <v>Low Risk</v>
      </c>
      <c r="K608" t="str">
        <f t="shared" si="37"/>
        <v>Adult</v>
      </c>
      <c r="L608" t="str">
        <f t="shared" si="38"/>
        <v>Medium</v>
      </c>
      <c r="M608" t="str">
        <f t="shared" si="39"/>
        <v>Medium Risk</v>
      </c>
    </row>
    <row r="609" spans="1:13" x14ac:dyDescent="0.3">
      <c r="A609">
        <v>50</v>
      </c>
      <c r="B609" t="s">
        <v>1009</v>
      </c>
      <c r="C609">
        <v>2</v>
      </c>
      <c r="D609" t="s">
        <v>1015</v>
      </c>
      <c r="E609" t="s">
        <v>1013</v>
      </c>
      <c r="F609" t="s">
        <v>1013</v>
      </c>
      <c r="G609" s="5">
        <v>2671</v>
      </c>
      <c r="H609">
        <v>36</v>
      </c>
      <c r="I609" t="s">
        <v>1023</v>
      </c>
      <c r="J609" t="str">
        <f t="shared" si="36"/>
        <v>Low Risk</v>
      </c>
      <c r="K609" t="str">
        <f t="shared" si="37"/>
        <v>Senior</v>
      </c>
      <c r="L609" t="str">
        <f t="shared" si="38"/>
        <v>Long</v>
      </c>
      <c r="M609" t="str">
        <f t="shared" si="39"/>
        <v>Low Risk</v>
      </c>
    </row>
    <row r="610" spans="1:13" x14ac:dyDescent="0.3">
      <c r="A610">
        <v>33</v>
      </c>
      <c r="B610" t="s">
        <v>1010</v>
      </c>
      <c r="C610">
        <v>2</v>
      </c>
      <c r="D610" t="s">
        <v>1016</v>
      </c>
      <c r="E610" t="s">
        <v>1012</v>
      </c>
      <c r="F610" t="s">
        <v>1011</v>
      </c>
      <c r="G610" s="5">
        <v>2051</v>
      </c>
      <c r="H610">
        <v>18</v>
      </c>
      <c r="I610" t="s">
        <v>1023</v>
      </c>
      <c r="J610" t="str">
        <f t="shared" si="36"/>
        <v>Low Risk</v>
      </c>
      <c r="K610" t="str">
        <f t="shared" si="37"/>
        <v>Senior</v>
      </c>
      <c r="L610" t="str">
        <f t="shared" si="38"/>
        <v>Medium</v>
      </c>
      <c r="M610" t="str">
        <f t="shared" si="39"/>
        <v>Low Risk</v>
      </c>
    </row>
    <row r="611" spans="1:13" x14ac:dyDescent="0.3">
      <c r="A611">
        <v>45</v>
      </c>
      <c r="B611" t="s">
        <v>1010</v>
      </c>
      <c r="C611">
        <v>2</v>
      </c>
      <c r="D611" t="s">
        <v>1015</v>
      </c>
      <c r="E611" t="s">
        <v>1011</v>
      </c>
      <c r="F611" t="s">
        <v>1011</v>
      </c>
      <c r="G611" s="5">
        <v>1300</v>
      </c>
      <c r="H611">
        <v>15</v>
      </c>
      <c r="I611" t="s">
        <v>1019</v>
      </c>
      <c r="J611" t="str">
        <f t="shared" si="36"/>
        <v>Low Risk</v>
      </c>
      <c r="K611" t="str">
        <f t="shared" si="37"/>
        <v>Senior</v>
      </c>
      <c r="L611" t="str">
        <f t="shared" si="38"/>
        <v>Medium</v>
      </c>
      <c r="M611" t="str">
        <f t="shared" si="39"/>
        <v>Low Risk</v>
      </c>
    </row>
    <row r="612" spans="1:13" x14ac:dyDescent="0.3">
      <c r="A612">
        <v>22</v>
      </c>
      <c r="B612" t="s">
        <v>1009</v>
      </c>
      <c r="C612">
        <v>2</v>
      </c>
      <c r="D612" t="s">
        <v>1016</v>
      </c>
      <c r="E612" t="s">
        <v>1013</v>
      </c>
      <c r="F612" t="s">
        <v>1012</v>
      </c>
      <c r="G612" s="5">
        <v>741</v>
      </c>
      <c r="H612">
        <v>12</v>
      </c>
      <c r="I612" t="s">
        <v>1020</v>
      </c>
      <c r="J612" t="str">
        <f t="shared" si="36"/>
        <v>Low Risk</v>
      </c>
      <c r="K612" t="str">
        <f t="shared" si="37"/>
        <v>Young</v>
      </c>
      <c r="L612" t="str">
        <f t="shared" si="38"/>
        <v>Medium</v>
      </c>
      <c r="M612" t="str">
        <f t="shared" si="39"/>
        <v>Low Risk</v>
      </c>
    </row>
    <row r="613" spans="1:13" x14ac:dyDescent="0.3">
      <c r="A613">
        <v>48</v>
      </c>
      <c r="B613" t="s">
        <v>1009</v>
      </c>
      <c r="C613">
        <v>1</v>
      </c>
      <c r="D613" t="s">
        <v>1015</v>
      </c>
      <c r="E613" t="s">
        <v>1013</v>
      </c>
      <c r="F613" t="s">
        <v>1008</v>
      </c>
      <c r="G613" s="5">
        <v>1240</v>
      </c>
      <c r="H613">
        <v>10</v>
      </c>
      <c r="I613" t="s">
        <v>1019</v>
      </c>
      <c r="J613" t="str">
        <f t="shared" si="36"/>
        <v>Low Risk</v>
      </c>
      <c r="K613" t="str">
        <f t="shared" si="37"/>
        <v>Senior</v>
      </c>
      <c r="L613" t="str">
        <f t="shared" si="38"/>
        <v>Short</v>
      </c>
      <c r="M613" t="str">
        <f t="shared" si="39"/>
        <v>Low Risk</v>
      </c>
    </row>
    <row r="614" spans="1:13" x14ac:dyDescent="0.3">
      <c r="A614">
        <v>29</v>
      </c>
      <c r="B614" t="s">
        <v>1009</v>
      </c>
      <c r="C614">
        <v>2</v>
      </c>
      <c r="D614" t="s">
        <v>1016</v>
      </c>
      <c r="E614" t="s">
        <v>1008</v>
      </c>
      <c r="F614" t="s">
        <v>1012</v>
      </c>
      <c r="G614" s="5">
        <v>3357</v>
      </c>
      <c r="H614">
        <v>21</v>
      </c>
      <c r="I614" t="s">
        <v>1023</v>
      </c>
      <c r="J614" t="str">
        <f t="shared" si="36"/>
        <v>Low Risk</v>
      </c>
      <c r="K614" t="str">
        <f t="shared" si="37"/>
        <v>Young</v>
      </c>
      <c r="L614" t="str">
        <f t="shared" si="38"/>
        <v>Medium</v>
      </c>
      <c r="M614" t="str">
        <f t="shared" si="39"/>
        <v>Medium Risk</v>
      </c>
    </row>
    <row r="615" spans="1:13" x14ac:dyDescent="0.3">
      <c r="A615">
        <v>22</v>
      </c>
      <c r="B615" t="s">
        <v>1009</v>
      </c>
      <c r="C615">
        <v>2</v>
      </c>
      <c r="D615" t="s">
        <v>1017</v>
      </c>
      <c r="E615" t="s">
        <v>1012</v>
      </c>
      <c r="F615" t="s">
        <v>1012</v>
      </c>
      <c r="G615" s="5">
        <v>3632</v>
      </c>
      <c r="H615">
        <v>24</v>
      </c>
      <c r="I615" t="s">
        <v>1019</v>
      </c>
      <c r="J615" t="str">
        <f t="shared" si="36"/>
        <v>Low Risk</v>
      </c>
      <c r="K615" t="str">
        <f t="shared" si="37"/>
        <v>Young</v>
      </c>
      <c r="L615" t="str">
        <f t="shared" si="38"/>
        <v>Medium</v>
      </c>
      <c r="M615" t="str">
        <f t="shared" si="39"/>
        <v>Medium Risk</v>
      </c>
    </row>
    <row r="616" spans="1:13" x14ac:dyDescent="0.3">
      <c r="A616">
        <v>22</v>
      </c>
      <c r="B616" t="s">
        <v>1009</v>
      </c>
      <c r="C616">
        <v>2</v>
      </c>
      <c r="D616" t="s">
        <v>1016</v>
      </c>
      <c r="E616" t="s">
        <v>1012</v>
      </c>
      <c r="F616" t="s">
        <v>1011</v>
      </c>
      <c r="G616" s="5">
        <v>1808</v>
      </c>
      <c r="H616">
        <v>18</v>
      </c>
      <c r="I616" t="s">
        <v>1022</v>
      </c>
      <c r="J616" t="str">
        <f t="shared" si="36"/>
        <v>Low Risk</v>
      </c>
      <c r="K616" t="str">
        <f t="shared" si="37"/>
        <v>Young</v>
      </c>
      <c r="L616" t="str">
        <f t="shared" si="38"/>
        <v>Medium</v>
      </c>
      <c r="M616" t="str">
        <f t="shared" si="39"/>
        <v>Low Risk</v>
      </c>
    </row>
    <row r="617" spans="1:13" x14ac:dyDescent="0.3">
      <c r="A617">
        <v>48</v>
      </c>
      <c r="B617" t="s">
        <v>1010</v>
      </c>
      <c r="C617">
        <v>3</v>
      </c>
      <c r="D617" t="s">
        <v>1016</v>
      </c>
      <c r="E617" t="s">
        <v>1011</v>
      </c>
      <c r="F617" t="s">
        <v>1013</v>
      </c>
      <c r="G617" s="5">
        <v>12204</v>
      </c>
      <c r="H617">
        <v>48</v>
      </c>
      <c r="I617" t="s">
        <v>1018</v>
      </c>
      <c r="J617" t="str">
        <f t="shared" si="36"/>
        <v>High Risk</v>
      </c>
      <c r="K617" t="str">
        <f t="shared" si="37"/>
        <v>Senior</v>
      </c>
      <c r="L617" t="str">
        <f t="shared" si="38"/>
        <v>Long</v>
      </c>
      <c r="M617" t="str">
        <f t="shared" si="39"/>
        <v>HighRisk</v>
      </c>
    </row>
    <row r="618" spans="1:13" x14ac:dyDescent="0.3">
      <c r="A618">
        <v>27</v>
      </c>
      <c r="B618" t="s">
        <v>1010</v>
      </c>
      <c r="C618">
        <v>3</v>
      </c>
      <c r="D618" t="s">
        <v>1015</v>
      </c>
      <c r="E618" t="s">
        <v>1011</v>
      </c>
      <c r="F618" t="s">
        <v>1013</v>
      </c>
      <c r="G618" s="5">
        <v>9157</v>
      </c>
      <c r="H618">
        <v>60</v>
      </c>
      <c r="I618" t="s">
        <v>1023</v>
      </c>
      <c r="J618" t="str">
        <f t="shared" si="36"/>
        <v>High Risk</v>
      </c>
      <c r="K618" t="str">
        <f t="shared" si="37"/>
        <v>Young</v>
      </c>
      <c r="L618" t="str">
        <f t="shared" si="38"/>
        <v>Long</v>
      </c>
      <c r="M618" t="str">
        <f t="shared" si="39"/>
        <v>HighRisk</v>
      </c>
    </row>
    <row r="619" spans="1:13" x14ac:dyDescent="0.3">
      <c r="A619">
        <v>37</v>
      </c>
      <c r="B619" t="s">
        <v>1010</v>
      </c>
      <c r="C619">
        <v>2</v>
      </c>
      <c r="D619" t="s">
        <v>1017</v>
      </c>
      <c r="E619" t="s">
        <v>1012</v>
      </c>
      <c r="F619" t="s">
        <v>1012</v>
      </c>
      <c r="G619" s="5">
        <v>3676</v>
      </c>
      <c r="H619">
        <v>6</v>
      </c>
      <c r="I619" t="s">
        <v>1019</v>
      </c>
      <c r="J619" t="str">
        <f t="shared" si="36"/>
        <v>Low Risk</v>
      </c>
      <c r="K619" t="str">
        <f t="shared" si="37"/>
        <v>Senior</v>
      </c>
      <c r="L619" t="str">
        <f t="shared" si="38"/>
        <v>Short</v>
      </c>
      <c r="M619" t="str">
        <f t="shared" si="39"/>
        <v>Medium Risk</v>
      </c>
    </row>
    <row r="620" spans="1:13" x14ac:dyDescent="0.3">
      <c r="A620">
        <v>21</v>
      </c>
      <c r="B620" t="s">
        <v>1009</v>
      </c>
      <c r="C620">
        <v>2</v>
      </c>
      <c r="D620" t="s">
        <v>1017</v>
      </c>
      <c r="E620" t="s">
        <v>1013</v>
      </c>
      <c r="F620" t="s">
        <v>1013</v>
      </c>
      <c r="G620" s="5">
        <v>3441</v>
      </c>
      <c r="H620">
        <v>30</v>
      </c>
      <c r="I620" t="s">
        <v>1022</v>
      </c>
      <c r="J620" t="str">
        <f t="shared" si="36"/>
        <v>Low Risk</v>
      </c>
      <c r="K620" t="str">
        <f t="shared" si="37"/>
        <v>Young</v>
      </c>
      <c r="L620" t="str">
        <f t="shared" si="38"/>
        <v>Medium</v>
      </c>
      <c r="M620" t="str">
        <f t="shared" si="39"/>
        <v>Medium Risk</v>
      </c>
    </row>
    <row r="621" spans="1:13" x14ac:dyDescent="0.3">
      <c r="A621">
        <v>49</v>
      </c>
      <c r="B621" t="s">
        <v>1010</v>
      </c>
      <c r="C621">
        <v>1</v>
      </c>
      <c r="D621" t="s">
        <v>1016</v>
      </c>
      <c r="E621" t="s">
        <v>1012</v>
      </c>
      <c r="F621" t="s">
        <v>1011</v>
      </c>
      <c r="G621" s="5">
        <v>640</v>
      </c>
      <c r="H621">
        <v>12</v>
      </c>
      <c r="I621" t="s">
        <v>1019</v>
      </c>
      <c r="J621" t="str">
        <f t="shared" si="36"/>
        <v>Low Risk</v>
      </c>
      <c r="K621" t="str">
        <f t="shared" si="37"/>
        <v>Senior</v>
      </c>
      <c r="L621" t="str">
        <f t="shared" si="38"/>
        <v>Medium</v>
      </c>
      <c r="M621" t="str">
        <f t="shared" si="39"/>
        <v>Low Risk</v>
      </c>
    </row>
    <row r="622" spans="1:13" x14ac:dyDescent="0.3">
      <c r="A622">
        <v>27</v>
      </c>
      <c r="B622" t="s">
        <v>1010</v>
      </c>
      <c r="C622">
        <v>2</v>
      </c>
      <c r="D622" t="s">
        <v>1016</v>
      </c>
      <c r="E622" t="s">
        <v>1012</v>
      </c>
      <c r="F622" t="s">
        <v>1013</v>
      </c>
      <c r="G622" s="5">
        <v>3652</v>
      </c>
      <c r="H622">
        <v>21</v>
      </c>
      <c r="I622" t="s">
        <v>1018</v>
      </c>
      <c r="J622" t="str">
        <f t="shared" si="36"/>
        <v>Low Risk</v>
      </c>
      <c r="K622" t="str">
        <f t="shared" si="37"/>
        <v>Young</v>
      </c>
      <c r="L622" t="str">
        <f t="shared" si="38"/>
        <v>Medium</v>
      </c>
      <c r="M622" t="str">
        <f t="shared" si="39"/>
        <v>Medium Risk</v>
      </c>
    </row>
    <row r="623" spans="1:13" x14ac:dyDescent="0.3">
      <c r="A623">
        <v>32</v>
      </c>
      <c r="B623" t="s">
        <v>1010</v>
      </c>
      <c r="C623">
        <v>2</v>
      </c>
      <c r="D623" t="s">
        <v>1016</v>
      </c>
      <c r="E623" t="s">
        <v>1012</v>
      </c>
      <c r="F623" t="s">
        <v>1011</v>
      </c>
      <c r="G623" s="5">
        <v>1530</v>
      </c>
      <c r="H623">
        <v>18</v>
      </c>
      <c r="I623" t="s">
        <v>1019</v>
      </c>
      <c r="J623" t="str">
        <f t="shared" si="36"/>
        <v>Low Risk</v>
      </c>
      <c r="K623" t="str">
        <f t="shared" si="37"/>
        <v>Senior</v>
      </c>
      <c r="L623" t="str">
        <f t="shared" si="38"/>
        <v>Medium</v>
      </c>
      <c r="M623" t="str">
        <f t="shared" si="39"/>
        <v>Low Risk</v>
      </c>
    </row>
    <row r="624" spans="1:13" x14ac:dyDescent="0.3">
      <c r="A624">
        <v>38</v>
      </c>
      <c r="B624" t="s">
        <v>1010</v>
      </c>
      <c r="C624">
        <v>2</v>
      </c>
      <c r="D624" t="s">
        <v>1016</v>
      </c>
      <c r="E624" t="s">
        <v>1011</v>
      </c>
      <c r="F624" t="s">
        <v>1011</v>
      </c>
      <c r="G624" s="5">
        <v>3914</v>
      </c>
      <c r="H624">
        <v>48</v>
      </c>
      <c r="I624" t="s">
        <v>1018</v>
      </c>
      <c r="J624" t="str">
        <f t="shared" si="36"/>
        <v>High Risk</v>
      </c>
      <c r="K624" t="str">
        <f t="shared" si="37"/>
        <v>Senior</v>
      </c>
      <c r="L624" t="str">
        <f t="shared" si="38"/>
        <v>Long</v>
      </c>
      <c r="M624" t="str">
        <f t="shared" si="39"/>
        <v>Medium Risk</v>
      </c>
    </row>
    <row r="625" spans="1:13" x14ac:dyDescent="0.3">
      <c r="A625">
        <v>22</v>
      </c>
      <c r="B625" t="s">
        <v>1009</v>
      </c>
      <c r="C625">
        <v>2</v>
      </c>
      <c r="D625" t="s">
        <v>1017</v>
      </c>
      <c r="E625" t="s">
        <v>1012</v>
      </c>
      <c r="F625" t="s">
        <v>1012</v>
      </c>
      <c r="G625" s="5">
        <v>1858</v>
      </c>
      <c r="H625">
        <v>12</v>
      </c>
      <c r="I625" t="s">
        <v>1022</v>
      </c>
      <c r="J625" t="str">
        <f t="shared" si="36"/>
        <v>Low Risk</v>
      </c>
      <c r="K625" t="str">
        <f t="shared" si="37"/>
        <v>Young</v>
      </c>
      <c r="L625" t="str">
        <f t="shared" si="38"/>
        <v>Medium</v>
      </c>
      <c r="M625" t="str">
        <f t="shared" si="39"/>
        <v>Low Risk</v>
      </c>
    </row>
    <row r="626" spans="1:13" x14ac:dyDescent="0.3">
      <c r="A626">
        <v>65</v>
      </c>
      <c r="B626" t="s">
        <v>1010</v>
      </c>
      <c r="C626">
        <v>2</v>
      </c>
      <c r="D626" t="s">
        <v>1015</v>
      </c>
      <c r="E626" t="s">
        <v>1012</v>
      </c>
      <c r="F626" t="s">
        <v>1012</v>
      </c>
      <c r="G626" s="5">
        <v>2600</v>
      </c>
      <c r="H626">
        <v>18</v>
      </c>
      <c r="I626" t="s">
        <v>1023</v>
      </c>
      <c r="J626" t="str">
        <f t="shared" si="36"/>
        <v>Low Risk</v>
      </c>
      <c r="K626" t="str">
        <f t="shared" si="37"/>
        <v>Adult</v>
      </c>
      <c r="L626" t="str">
        <f t="shared" si="38"/>
        <v>Medium</v>
      </c>
      <c r="M626" t="str">
        <f t="shared" si="39"/>
        <v>Low Risk</v>
      </c>
    </row>
    <row r="627" spans="1:13" x14ac:dyDescent="0.3">
      <c r="A627">
        <v>35</v>
      </c>
      <c r="B627" t="s">
        <v>1010</v>
      </c>
      <c r="C627">
        <v>2</v>
      </c>
      <c r="D627" t="s">
        <v>1016</v>
      </c>
      <c r="E627" t="s">
        <v>1011</v>
      </c>
      <c r="F627" t="s">
        <v>1011</v>
      </c>
      <c r="G627" s="5">
        <v>1979</v>
      </c>
      <c r="H627">
        <v>15</v>
      </c>
      <c r="I627" t="s">
        <v>1023</v>
      </c>
      <c r="J627" t="str">
        <f t="shared" si="36"/>
        <v>Low Risk</v>
      </c>
      <c r="K627" t="str">
        <f t="shared" si="37"/>
        <v>Senior</v>
      </c>
      <c r="L627" t="str">
        <f t="shared" si="38"/>
        <v>Medium</v>
      </c>
      <c r="M627" t="str">
        <f t="shared" si="39"/>
        <v>Low Risk</v>
      </c>
    </row>
    <row r="628" spans="1:13" x14ac:dyDescent="0.3">
      <c r="A628">
        <v>41</v>
      </c>
      <c r="B628" t="s">
        <v>1010</v>
      </c>
      <c r="C628">
        <v>2</v>
      </c>
      <c r="D628" t="s">
        <v>1016</v>
      </c>
      <c r="E628" t="s">
        <v>1012</v>
      </c>
      <c r="F628" t="s">
        <v>1008</v>
      </c>
      <c r="G628" s="5">
        <v>2116</v>
      </c>
      <c r="H628">
        <v>6</v>
      </c>
      <c r="I628" t="s">
        <v>1022</v>
      </c>
      <c r="J628" t="str">
        <f t="shared" si="36"/>
        <v>Low Risk</v>
      </c>
      <c r="K628" t="str">
        <f t="shared" si="37"/>
        <v>Senior</v>
      </c>
      <c r="L628" t="str">
        <f t="shared" si="38"/>
        <v>Short</v>
      </c>
      <c r="M628" t="str">
        <f t="shared" si="39"/>
        <v>Low Risk</v>
      </c>
    </row>
    <row r="629" spans="1:13" x14ac:dyDescent="0.3">
      <c r="A629">
        <v>29</v>
      </c>
      <c r="B629" t="s">
        <v>1010</v>
      </c>
      <c r="C629">
        <v>2</v>
      </c>
      <c r="D629" t="s">
        <v>1016</v>
      </c>
      <c r="E629" t="s">
        <v>1013</v>
      </c>
      <c r="F629" t="s">
        <v>1013</v>
      </c>
      <c r="G629" s="5">
        <v>1437</v>
      </c>
      <c r="H629">
        <v>9</v>
      </c>
      <c r="I629" t="s">
        <v>1019</v>
      </c>
      <c r="J629" t="str">
        <f t="shared" si="36"/>
        <v>Low Risk</v>
      </c>
      <c r="K629" t="str">
        <f t="shared" si="37"/>
        <v>Young</v>
      </c>
      <c r="L629" t="str">
        <f t="shared" si="38"/>
        <v>Short</v>
      </c>
      <c r="M629" t="str">
        <f t="shared" si="39"/>
        <v>Low Risk</v>
      </c>
    </row>
    <row r="630" spans="1:13" x14ac:dyDescent="0.3">
      <c r="A630">
        <v>36</v>
      </c>
      <c r="B630" t="s">
        <v>1010</v>
      </c>
      <c r="C630">
        <v>2</v>
      </c>
      <c r="D630" t="s">
        <v>1016</v>
      </c>
      <c r="E630" t="s">
        <v>1014</v>
      </c>
      <c r="F630" t="s">
        <v>1011</v>
      </c>
      <c r="G630" s="5">
        <v>4042</v>
      </c>
      <c r="H630">
        <v>42</v>
      </c>
      <c r="I630" t="s">
        <v>1022</v>
      </c>
      <c r="J630" t="str">
        <f t="shared" si="36"/>
        <v>High Risk</v>
      </c>
      <c r="K630" t="str">
        <f t="shared" si="37"/>
        <v>Senior</v>
      </c>
      <c r="L630" t="str">
        <f t="shared" si="38"/>
        <v>Long</v>
      </c>
      <c r="M630" t="str">
        <f t="shared" si="39"/>
        <v>Medium Risk</v>
      </c>
    </row>
    <row r="631" spans="1:13" x14ac:dyDescent="0.3">
      <c r="A631">
        <v>64</v>
      </c>
      <c r="B631" t="s">
        <v>1010</v>
      </c>
      <c r="C631">
        <v>1</v>
      </c>
      <c r="D631" t="s">
        <v>1016</v>
      </c>
      <c r="E631" t="s">
        <v>1011</v>
      </c>
      <c r="F631" t="s">
        <v>1011</v>
      </c>
      <c r="G631" s="5">
        <v>3832</v>
      </c>
      <c r="H631">
        <v>9</v>
      </c>
      <c r="I631" t="s">
        <v>1021</v>
      </c>
      <c r="J631" t="str">
        <f t="shared" si="36"/>
        <v>Low Risk</v>
      </c>
      <c r="K631" t="str">
        <f t="shared" si="37"/>
        <v>Adult</v>
      </c>
      <c r="L631" t="str">
        <f t="shared" si="38"/>
        <v>Short</v>
      </c>
      <c r="M631" t="str">
        <f t="shared" si="39"/>
        <v>Medium Risk</v>
      </c>
    </row>
    <row r="632" spans="1:13" x14ac:dyDescent="0.3">
      <c r="A632">
        <v>28</v>
      </c>
      <c r="B632" t="s">
        <v>1009</v>
      </c>
      <c r="C632">
        <v>2</v>
      </c>
      <c r="D632" t="s">
        <v>1016</v>
      </c>
      <c r="E632" t="s">
        <v>1012</v>
      </c>
      <c r="F632" t="s">
        <v>1012</v>
      </c>
      <c r="G632" s="5">
        <v>3660</v>
      </c>
      <c r="H632">
        <v>24</v>
      </c>
      <c r="I632" t="s">
        <v>1023</v>
      </c>
      <c r="J632" t="str">
        <f t="shared" si="36"/>
        <v>Low Risk</v>
      </c>
      <c r="K632" t="str">
        <f t="shared" si="37"/>
        <v>Young</v>
      </c>
      <c r="L632" t="str">
        <f t="shared" si="38"/>
        <v>Medium</v>
      </c>
      <c r="M632" t="str">
        <f t="shared" si="39"/>
        <v>Medium Risk</v>
      </c>
    </row>
    <row r="633" spans="1:13" x14ac:dyDescent="0.3">
      <c r="A633">
        <v>44</v>
      </c>
      <c r="B633" t="s">
        <v>1010</v>
      </c>
      <c r="C633">
        <v>2</v>
      </c>
      <c r="D633" t="s">
        <v>1016</v>
      </c>
      <c r="E633" t="s">
        <v>1012</v>
      </c>
      <c r="F633" t="s">
        <v>1012</v>
      </c>
      <c r="G633" s="5">
        <v>1553</v>
      </c>
      <c r="H633">
        <v>18</v>
      </c>
      <c r="I633" t="s">
        <v>1022</v>
      </c>
      <c r="J633" t="str">
        <f t="shared" si="36"/>
        <v>Low Risk</v>
      </c>
      <c r="K633" t="str">
        <f t="shared" si="37"/>
        <v>Senior</v>
      </c>
      <c r="L633" t="str">
        <f t="shared" si="38"/>
        <v>Medium</v>
      </c>
      <c r="M633" t="str">
        <f t="shared" si="39"/>
        <v>Low Risk</v>
      </c>
    </row>
    <row r="634" spans="1:13" x14ac:dyDescent="0.3">
      <c r="A634">
        <v>23</v>
      </c>
      <c r="B634" t="s">
        <v>1010</v>
      </c>
      <c r="C634">
        <v>2</v>
      </c>
      <c r="D634" t="s">
        <v>1016</v>
      </c>
      <c r="E634" t="s">
        <v>1011</v>
      </c>
      <c r="F634" t="s">
        <v>1013</v>
      </c>
      <c r="G634" s="5">
        <v>1444</v>
      </c>
      <c r="H634">
        <v>15</v>
      </c>
      <c r="I634" t="s">
        <v>1023</v>
      </c>
      <c r="J634" t="str">
        <f t="shared" si="36"/>
        <v>Low Risk</v>
      </c>
      <c r="K634" t="str">
        <f t="shared" si="37"/>
        <v>Young</v>
      </c>
      <c r="L634" t="str">
        <f t="shared" si="38"/>
        <v>Medium</v>
      </c>
      <c r="M634" t="str">
        <f t="shared" si="39"/>
        <v>Low Risk</v>
      </c>
    </row>
    <row r="635" spans="1:13" x14ac:dyDescent="0.3">
      <c r="A635">
        <v>19</v>
      </c>
      <c r="B635" t="s">
        <v>1009</v>
      </c>
      <c r="C635">
        <v>2</v>
      </c>
      <c r="D635" t="s">
        <v>1017</v>
      </c>
      <c r="E635" t="s">
        <v>1012</v>
      </c>
      <c r="F635" t="s">
        <v>1011</v>
      </c>
      <c r="G635" s="5">
        <v>1980</v>
      </c>
      <c r="H635">
        <v>9</v>
      </c>
      <c r="I635" t="s">
        <v>1022</v>
      </c>
      <c r="J635" t="str">
        <f t="shared" si="36"/>
        <v>Low Risk</v>
      </c>
      <c r="K635" t="str">
        <f t="shared" si="37"/>
        <v>Young</v>
      </c>
      <c r="L635" t="str">
        <f t="shared" si="38"/>
        <v>Short</v>
      </c>
      <c r="M635" t="str">
        <f t="shared" si="39"/>
        <v>Low Risk</v>
      </c>
    </row>
    <row r="636" spans="1:13" x14ac:dyDescent="0.3">
      <c r="A636">
        <v>25</v>
      </c>
      <c r="B636" t="s">
        <v>1009</v>
      </c>
      <c r="C636">
        <v>1</v>
      </c>
      <c r="D636" t="s">
        <v>1016</v>
      </c>
      <c r="E636" t="s">
        <v>1012</v>
      </c>
      <c r="F636" t="s">
        <v>1013</v>
      </c>
      <c r="G636" s="5">
        <v>1355</v>
      </c>
      <c r="H636">
        <v>24</v>
      </c>
      <c r="I636" t="s">
        <v>1019</v>
      </c>
      <c r="J636" t="str">
        <f t="shared" si="36"/>
        <v>Low Risk</v>
      </c>
      <c r="K636" t="str">
        <f t="shared" si="37"/>
        <v>Young</v>
      </c>
      <c r="L636" t="str">
        <f t="shared" si="38"/>
        <v>Medium</v>
      </c>
      <c r="M636" t="str">
        <f t="shared" si="39"/>
        <v>Low Risk</v>
      </c>
    </row>
    <row r="637" spans="1:13" x14ac:dyDescent="0.3">
      <c r="A637">
        <v>47</v>
      </c>
      <c r="B637" t="s">
        <v>1010</v>
      </c>
      <c r="C637">
        <v>2</v>
      </c>
      <c r="D637" t="s">
        <v>1016</v>
      </c>
      <c r="E637" t="s">
        <v>1012</v>
      </c>
      <c r="F637" t="s">
        <v>1011</v>
      </c>
      <c r="G637" s="5">
        <v>1393</v>
      </c>
      <c r="H637">
        <v>12</v>
      </c>
      <c r="I637" t="s">
        <v>1021</v>
      </c>
      <c r="J637" t="str">
        <f t="shared" si="36"/>
        <v>Low Risk</v>
      </c>
      <c r="K637" t="str">
        <f t="shared" si="37"/>
        <v>Senior</v>
      </c>
      <c r="L637" t="str">
        <f t="shared" si="38"/>
        <v>Medium</v>
      </c>
      <c r="M637" t="str">
        <f t="shared" si="39"/>
        <v>Low Risk</v>
      </c>
    </row>
    <row r="638" spans="1:13" x14ac:dyDescent="0.3">
      <c r="A638">
        <v>28</v>
      </c>
      <c r="B638" t="s">
        <v>1009</v>
      </c>
      <c r="C638">
        <v>2</v>
      </c>
      <c r="D638" t="s">
        <v>1016</v>
      </c>
      <c r="E638" t="s">
        <v>1014</v>
      </c>
      <c r="F638" t="s">
        <v>1011</v>
      </c>
      <c r="G638" s="5">
        <v>1376</v>
      </c>
      <c r="H638">
        <v>24</v>
      </c>
      <c r="I638" t="s">
        <v>1023</v>
      </c>
      <c r="J638" t="str">
        <f t="shared" si="36"/>
        <v>Low Risk</v>
      </c>
      <c r="K638" t="str">
        <f t="shared" si="37"/>
        <v>Young</v>
      </c>
      <c r="L638" t="str">
        <f t="shared" si="38"/>
        <v>Medium</v>
      </c>
      <c r="M638" t="str">
        <f t="shared" si="39"/>
        <v>Low Risk</v>
      </c>
    </row>
    <row r="639" spans="1:13" x14ac:dyDescent="0.3">
      <c r="A639">
        <v>21</v>
      </c>
      <c r="B639" t="s">
        <v>1010</v>
      </c>
      <c r="C639">
        <v>2</v>
      </c>
      <c r="D639" t="s">
        <v>1016</v>
      </c>
      <c r="E639" t="s">
        <v>1012</v>
      </c>
      <c r="F639" t="s">
        <v>1011</v>
      </c>
      <c r="G639" s="5">
        <v>15653</v>
      </c>
      <c r="H639">
        <v>60</v>
      </c>
      <c r="I639" t="s">
        <v>1023</v>
      </c>
      <c r="J639" t="str">
        <f t="shared" si="36"/>
        <v>High Risk</v>
      </c>
      <c r="K639" t="str">
        <f t="shared" si="37"/>
        <v>Young</v>
      </c>
      <c r="L639" t="str">
        <f t="shared" si="38"/>
        <v>Long</v>
      </c>
      <c r="M639" t="str">
        <f t="shared" si="39"/>
        <v>HighRisk</v>
      </c>
    </row>
    <row r="640" spans="1:13" x14ac:dyDescent="0.3">
      <c r="A640">
        <v>34</v>
      </c>
      <c r="B640" t="s">
        <v>1009</v>
      </c>
      <c r="C640">
        <v>2</v>
      </c>
      <c r="D640" t="s">
        <v>1016</v>
      </c>
      <c r="E640" t="s">
        <v>1012</v>
      </c>
      <c r="F640" t="s">
        <v>1011</v>
      </c>
      <c r="G640" s="5">
        <v>1493</v>
      </c>
      <c r="H640">
        <v>12</v>
      </c>
      <c r="I640" t="s">
        <v>1023</v>
      </c>
      <c r="J640" t="str">
        <f t="shared" si="36"/>
        <v>Low Risk</v>
      </c>
      <c r="K640" t="str">
        <f t="shared" si="37"/>
        <v>Senior</v>
      </c>
      <c r="L640" t="str">
        <f t="shared" si="38"/>
        <v>Medium</v>
      </c>
      <c r="M640" t="str">
        <f t="shared" si="39"/>
        <v>Low Risk</v>
      </c>
    </row>
    <row r="641" spans="1:13" x14ac:dyDescent="0.3">
      <c r="A641">
        <v>26</v>
      </c>
      <c r="B641" t="s">
        <v>1010</v>
      </c>
      <c r="C641">
        <v>2</v>
      </c>
      <c r="D641" t="s">
        <v>1016</v>
      </c>
      <c r="E641" t="s">
        <v>1012</v>
      </c>
      <c r="F641" t="s">
        <v>1012</v>
      </c>
      <c r="G641" s="5">
        <v>4370</v>
      </c>
      <c r="H641">
        <v>42</v>
      </c>
      <c r="I641" t="s">
        <v>1023</v>
      </c>
      <c r="J641" t="str">
        <f t="shared" si="36"/>
        <v>High Risk</v>
      </c>
      <c r="K641" t="str">
        <f t="shared" si="37"/>
        <v>Young</v>
      </c>
      <c r="L641" t="str">
        <f t="shared" si="38"/>
        <v>Long</v>
      </c>
      <c r="M641" t="str">
        <f t="shared" si="39"/>
        <v>Medium Risk</v>
      </c>
    </row>
    <row r="642" spans="1:13" x14ac:dyDescent="0.3">
      <c r="A642">
        <v>27</v>
      </c>
      <c r="B642" t="s">
        <v>1009</v>
      </c>
      <c r="C642">
        <v>0</v>
      </c>
      <c r="D642" t="s">
        <v>1016</v>
      </c>
      <c r="E642" t="s">
        <v>1012</v>
      </c>
      <c r="F642" t="s">
        <v>1012</v>
      </c>
      <c r="G642" s="5">
        <v>750</v>
      </c>
      <c r="H642">
        <v>18</v>
      </c>
      <c r="I642" t="s">
        <v>1021</v>
      </c>
      <c r="J642" t="str">
        <f t="shared" si="36"/>
        <v>Low Risk</v>
      </c>
      <c r="K642" t="str">
        <f t="shared" si="37"/>
        <v>Young</v>
      </c>
      <c r="L642" t="str">
        <f t="shared" si="38"/>
        <v>Medium</v>
      </c>
      <c r="M642" t="str">
        <f t="shared" si="39"/>
        <v>Low Risk</v>
      </c>
    </row>
    <row r="643" spans="1:13" x14ac:dyDescent="0.3">
      <c r="A643">
        <v>38</v>
      </c>
      <c r="B643" t="s">
        <v>1010</v>
      </c>
      <c r="C643">
        <v>1</v>
      </c>
      <c r="D643" t="s">
        <v>1016</v>
      </c>
      <c r="E643" t="s">
        <v>1012</v>
      </c>
      <c r="F643" t="s">
        <v>1013</v>
      </c>
      <c r="G643" s="5">
        <v>1308</v>
      </c>
      <c r="H643">
        <v>15</v>
      </c>
      <c r="I643" t="s">
        <v>1024</v>
      </c>
      <c r="J643" t="str">
        <f t="shared" ref="J643:J706" si="40">IF(OR(G643&gt;7000,H643&gt;36),"High Risk",
IF(AND(G643&gt;4000,H643&gt;24),"Medium Risk",
"Low Risk"))</f>
        <v>Low Risk</v>
      </c>
      <c r="K643" t="str">
        <f t="shared" ref="K643:K706" si="41">IF(A643&lt;30,"Young",IF(A643&gt;50,"Adult","Senior"))</f>
        <v>Senior</v>
      </c>
      <c r="L643" t="str">
        <f t="shared" ref="L643:L706" si="42">IF(H643&lt;12,"Short",IF(H643&lt;36,"Medium","Long"))</f>
        <v>Medium</v>
      </c>
      <c r="M643" t="str">
        <f t="shared" ref="M643:M706" si="43">IF(G643&lt;3000,"Low Risk",IF(G643&lt;=6000,"Medium Risk","HighRisk"))</f>
        <v>Low Risk</v>
      </c>
    </row>
    <row r="644" spans="1:13" x14ac:dyDescent="0.3">
      <c r="A644">
        <v>40</v>
      </c>
      <c r="B644" t="s">
        <v>1010</v>
      </c>
      <c r="C644">
        <v>3</v>
      </c>
      <c r="D644" t="s">
        <v>1016</v>
      </c>
      <c r="E644" t="s">
        <v>1013</v>
      </c>
      <c r="F644" t="s">
        <v>1011</v>
      </c>
      <c r="G644" s="5">
        <v>4623</v>
      </c>
      <c r="H644">
        <v>15</v>
      </c>
      <c r="I644" t="s">
        <v>1021</v>
      </c>
      <c r="J644" t="str">
        <f t="shared" si="40"/>
        <v>Low Risk</v>
      </c>
      <c r="K644" t="str">
        <f t="shared" si="41"/>
        <v>Senior</v>
      </c>
      <c r="L644" t="str">
        <f t="shared" si="42"/>
        <v>Medium</v>
      </c>
      <c r="M644" t="str">
        <f t="shared" si="43"/>
        <v>Medium Risk</v>
      </c>
    </row>
    <row r="645" spans="1:13" x14ac:dyDescent="0.3">
      <c r="A645">
        <v>33</v>
      </c>
      <c r="B645" t="s">
        <v>1010</v>
      </c>
      <c r="C645">
        <v>2</v>
      </c>
      <c r="D645" t="s">
        <v>1016</v>
      </c>
      <c r="E645" t="s">
        <v>1012</v>
      </c>
      <c r="F645" t="s">
        <v>1011</v>
      </c>
      <c r="G645" s="5">
        <v>1851</v>
      </c>
      <c r="H645">
        <v>24</v>
      </c>
      <c r="I645" t="s">
        <v>1023</v>
      </c>
      <c r="J645" t="str">
        <f t="shared" si="40"/>
        <v>Low Risk</v>
      </c>
      <c r="K645" t="str">
        <f t="shared" si="41"/>
        <v>Senior</v>
      </c>
      <c r="L645" t="str">
        <f t="shared" si="42"/>
        <v>Medium</v>
      </c>
      <c r="M645" t="str">
        <f t="shared" si="43"/>
        <v>Low Risk</v>
      </c>
    </row>
    <row r="646" spans="1:13" x14ac:dyDescent="0.3">
      <c r="A646">
        <v>32</v>
      </c>
      <c r="B646" t="s">
        <v>1010</v>
      </c>
      <c r="C646">
        <v>3</v>
      </c>
      <c r="D646" t="s">
        <v>1016</v>
      </c>
      <c r="E646" t="s">
        <v>1012</v>
      </c>
      <c r="F646" t="s">
        <v>1012</v>
      </c>
      <c r="G646" s="5">
        <v>1880</v>
      </c>
      <c r="H646">
        <v>18</v>
      </c>
      <c r="I646" t="s">
        <v>1023</v>
      </c>
      <c r="J646" t="str">
        <f t="shared" si="40"/>
        <v>Low Risk</v>
      </c>
      <c r="K646" t="str">
        <f t="shared" si="41"/>
        <v>Senior</v>
      </c>
      <c r="L646" t="str">
        <f t="shared" si="42"/>
        <v>Medium</v>
      </c>
      <c r="M646" t="str">
        <f t="shared" si="43"/>
        <v>Low Risk</v>
      </c>
    </row>
    <row r="647" spans="1:13" x14ac:dyDescent="0.3">
      <c r="A647">
        <v>27</v>
      </c>
      <c r="B647" t="s">
        <v>1010</v>
      </c>
      <c r="C647">
        <v>2</v>
      </c>
      <c r="D647" t="s">
        <v>1017</v>
      </c>
      <c r="E647" t="s">
        <v>1011</v>
      </c>
      <c r="F647" t="s">
        <v>1011</v>
      </c>
      <c r="G647" s="5">
        <v>7980</v>
      </c>
      <c r="H647">
        <v>36</v>
      </c>
      <c r="I647" t="s">
        <v>1018</v>
      </c>
      <c r="J647" t="str">
        <f t="shared" si="40"/>
        <v>High Risk</v>
      </c>
      <c r="K647" t="str">
        <f t="shared" si="41"/>
        <v>Young</v>
      </c>
      <c r="L647" t="str">
        <f t="shared" si="42"/>
        <v>Long</v>
      </c>
      <c r="M647" t="str">
        <f t="shared" si="43"/>
        <v>HighRisk</v>
      </c>
    </row>
    <row r="648" spans="1:13" x14ac:dyDescent="0.3">
      <c r="A648">
        <v>32</v>
      </c>
      <c r="B648" t="s">
        <v>1010</v>
      </c>
      <c r="C648">
        <v>2</v>
      </c>
      <c r="D648" t="s">
        <v>1016</v>
      </c>
      <c r="E648" t="s">
        <v>1012</v>
      </c>
      <c r="F648" t="s">
        <v>1012</v>
      </c>
      <c r="G648" s="5">
        <v>4583</v>
      </c>
      <c r="H648">
        <v>30</v>
      </c>
      <c r="I648" t="s">
        <v>1022</v>
      </c>
      <c r="J648" t="str">
        <f t="shared" si="40"/>
        <v>Medium Risk</v>
      </c>
      <c r="K648" t="str">
        <f t="shared" si="41"/>
        <v>Senior</v>
      </c>
      <c r="L648" t="str">
        <f t="shared" si="42"/>
        <v>Medium</v>
      </c>
      <c r="M648" t="str">
        <f t="shared" si="43"/>
        <v>Medium Risk</v>
      </c>
    </row>
    <row r="649" spans="1:13" x14ac:dyDescent="0.3">
      <c r="A649">
        <v>26</v>
      </c>
      <c r="B649" t="s">
        <v>1009</v>
      </c>
      <c r="C649">
        <v>2</v>
      </c>
      <c r="D649" t="s">
        <v>1016</v>
      </c>
      <c r="E649" t="s">
        <v>1014</v>
      </c>
      <c r="F649" t="s">
        <v>1011</v>
      </c>
      <c r="G649" s="5">
        <v>1386</v>
      </c>
      <c r="H649">
        <v>12</v>
      </c>
      <c r="I649" t="s">
        <v>1019</v>
      </c>
      <c r="J649" t="str">
        <f t="shared" si="40"/>
        <v>Low Risk</v>
      </c>
      <c r="K649" t="str">
        <f t="shared" si="41"/>
        <v>Young</v>
      </c>
      <c r="L649" t="str">
        <f t="shared" si="42"/>
        <v>Medium</v>
      </c>
      <c r="M649" t="str">
        <f t="shared" si="43"/>
        <v>Low Risk</v>
      </c>
    </row>
    <row r="650" spans="1:13" x14ac:dyDescent="0.3">
      <c r="A650">
        <v>38</v>
      </c>
      <c r="B650" t="s">
        <v>1010</v>
      </c>
      <c r="C650">
        <v>2</v>
      </c>
      <c r="D650" t="s">
        <v>1015</v>
      </c>
      <c r="E650" t="s">
        <v>1012</v>
      </c>
      <c r="F650" t="s">
        <v>1008</v>
      </c>
      <c r="G650" s="5">
        <v>947</v>
      </c>
      <c r="H650">
        <v>24</v>
      </c>
      <c r="I650" t="s">
        <v>1019</v>
      </c>
      <c r="J650" t="str">
        <f t="shared" si="40"/>
        <v>Low Risk</v>
      </c>
      <c r="K650" t="str">
        <f t="shared" si="41"/>
        <v>Senior</v>
      </c>
      <c r="L650" t="str">
        <f t="shared" si="42"/>
        <v>Medium</v>
      </c>
      <c r="M650" t="str">
        <f t="shared" si="43"/>
        <v>Low Risk</v>
      </c>
    </row>
    <row r="651" spans="1:13" x14ac:dyDescent="0.3">
      <c r="A651">
        <v>40</v>
      </c>
      <c r="B651" t="s">
        <v>1010</v>
      </c>
      <c r="C651">
        <v>1</v>
      </c>
      <c r="D651" t="s">
        <v>1017</v>
      </c>
      <c r="E651" t="s">
        <v>1012</v>
      </c>
      <c r="F651" t="s">
        <v>1012</v>
      </c>
      <c r="G651" s="5">
        <v>684</v>
      </c>
      <c r="H651">
        <v>12</v>
      </c>
      <c r="I651" t="s">
        <v>1021</v>
      </c>
      <c r="J651" t="str">
        <f t="shared" si="40"/>
        <v>Low Risk</v>
      </c>
      <c r="K651" t="str">
        <f t="shared" si="41"/>
        <v>Senior</v>
      </c>
      <c r="L651" t="str">
        <f t="shared" si="42"/>
        <v>Medium</v>
      </c>
      <c r="M651" t="str">
        <f t="shared" si="43"/>
        <v>Low Risk</v>
      </c>
    </row>
    <row r="652" spans="1:13" x14ac:dyDescent="0.3">
      <c r="A652">
        <v>50</v>
      </c>
      <c r="B652" t="s">
        <v>1010</v>
      </c>
      <c r="C652">
        <v>3</v>
      </c>
      <c r="D652" t="s">
        <v>1015</v>
      </c>
      <c r="E652" t="s">
        <v>1012</v>
      </c>
      <c r="F652" t="s">
        <v>1012</v>
      </c>
      <c r="G652" s="5">
        <v>7476</v>
      </c>
      <c r="H652">
        <v>48</v>
      </c>
      <c r="I652" t="s">
        <v>1021</v>
      </c>
      <c r="J652" t="str">
        <f t="shared" si="40"/>
        <v>High Risk</v>
      </c>
      <c r="K652" t="str">
        <f t="shared" si="41"/>
        <v>Senior</v>
      </c>
      <c r="L652" t="str">
        <f t="shared" si="42"/>
        <v>Long</v>
      </c>
      <c r="M652" t="str">
        <f t="shared" si="43"/>
        <v>HighRisk</v>
      </c>
    </row>
    <row r="653" spans="1:13" x14ac:dyDescent="0.3">
      <c r="A653">
        <v>37</v>
      </c>
      <c r="B653" t="s">
        <v>1010</v>
      </c>
      <c r="C653">
        <v>1</v>
      </c>
      <c r="D653" t="s">
        <v>1016</v>
      </c>
      <c r="E653" t="s">
        <v>1012</v>
      </c>
      <c r="F653" t="s">
        <v>1013</v>
      </c>
      <c r="G653" s="5">
        <v>1922</v>
      </c>
      <c r="H653">
        <v>12</v>
      </c>
      <c r="I653" t="s">
        <v>1022</v>
      </c>
      <c r="J653" t="str">
        <f t="shared" si="40"/>
        <v>Low Risk</v>
      </c>
      <c r="K653" t="str">
        <f t="shared" si="41"/>
        <v>Senior</v>
      </c>
      <c r="L653" t="str">
        <f t="shared" si="42"/>
        <v>Medium</v>
      </c>
      <c r="M653" t="str">
        <f t="shared" si="43"/>
        <v>Low Risk</v>
      </c>
    </row>
    <row r="654" spans="1:13" x14ac:dyDescent="0.3">
      <c r="A654">
        <v>45</v>
      </c>
      <c r="B654" t="s">
        <v>1010</v>
      </c>
      <c r="C654">
        <v>2</v>
      </c>
      <c r="D654" t="s">
        <v>1016</v>
      </c>
      <c r="E654" t="s">
        <v>1012</v>
      </c>
      <c r="F654" t="s">
        <v>1012</v>
      </c>
      <c r="G654" s="5">
        <v>2303</v>
      </c>
      <c r="H654">
        <v>24</v>
      </c>
      <c r="I654" t="s">
        <v>1019</v>
      </c>
      <c r="J654" t="str">
        <f t="shared" si="40"/>
        <v>Low Risk</v>
      </c>
      <c r="K654" t="str">
        <f t="shared" si="41"/>
        <v>Senior</v>
      </c>
      <c r="L654" t="str">
        <f t="shared" si="42"/>
        <v>Medium</v>
      </c>
      <c r="M654" t="str">
        <f t="shared" si="43"/>
        <v>Low Risk</v>
      </c>
    </row>
    <row r="655" spans="1:13" x14ac:dyDescent="0.3">
      <c r="A655">
        <v>42</v>
      </c>
      <c r="B655" t="s">
        <v>1010</v>
      </c>
      <c r="C655">
        <v>3</v>
      </c>
      <c r="D655" t="s">
        <v>1016</v>
      </c>
      <c r="E655" t="s">
        <v>1013</v>
      </c>
      <c r="F655" t="s">
        <v>1013</v>
      </c>
      <c r="G655" s="5">
        <v>8086</v>
      </c>
      <c r="H655">
        <v>36</v>
      </c>
      <c r="I655" t="s">
        <v>1019</v>
      </c>
      <c r="J655" t="str">
        <f t="shared" si="40"/>
        <v>High Risk</v>
      </c>
      <c r="K655" t="str">
        <f t="shared" si="41"/>
        <v>Senior</v>
      </c>
      <c r="L655" t="str">
        <f t="shared" si="42"/>
        <v>Long</v>
      </c>
      <c r="M655" t="str">
        <f t="shared" si="43"/>
        <v>HighRisk</v>
      </c>
    </row>
    <row r="656" spans="1:13" x14ac:dyDescent="0.3">
      <c r="A656">
        <v>35</v>
      </c>
      <c r="B656" t="s">
        <v>1010</v>
      </c>
      <c r="C656">
        <v>2</v>
      </c>
      <c r="D656" t="s">
        <v>1016</v>
      </c>
      <c r="E656" t="s">
        <v>1012</v>
      </c>
      <c r="F656" t="s">
        <v>1011</v>
      </c>
      <c r="G656" s="5">
        <v>2346</v>
      </c>
      <c r="H656">
        <v>24</v>
      </c>
      <c r="I656" t="s">
        <v>1019</v>
      </c>
      <c r="J656" t="str">
        <f t="shared" si="40"/>
        <v>Low Risk</v>
      </c>
      <c r="K656" t="str">
        <f t="shared" si="41"/>
        <v>Senior</v>
      </c>
      <c r="L656" t="str">
        <f t="shared" si="42"/>
        <v>Medium</v>
      </c>
      <c r="M656" t="str">
        <f t="shared" si="43"/>
        <v>Low Risk</v>
      </c>
    </row>
    <row r="657" spans="1:13" x14ac:dyDescent="0.3">
      <c r="A657">
        <v>22</v>
      </c>
      <c r="B657" t="s">
        <v>1010</v>
      </c>
      <c r="C657">
        <v>2</v>
      </c>
      <c r="D657" t="s">
        <v>1015</v>
      </c>
      <c r="E657" t="s">
        <v>1012</v>
      </c>
      <c r="F657" t="s">
        <v>1012</v>
      </c>
      <c r="G657" s="5">
        <v>3973</v>
      </c>
      <c r="H657">
        <v>14</v>
      </c>
      <c r="I657" t="s">
        <v>1019</v>
      </c>
      <c r="J657" t="str">
        <f t="shared" si="40"/>
        <v>Low Risk</v>
      </c>
      <c r="K657" t="str">
        <f t="shared" si="41"/>
        <v>Young</v>
      </c>
      <c r="L657" t="str">
        <f t="shared" si="42"/>
        <v>Medium</v>
      </c>
      <c r="M657" t="str">
        <f t="shared" si="43"/>
        <v>Medium Risk</v>
      </c>
    </row>
    <row r="658" spans="1:13" x14ac:dyDescent="0.3">
      <c r="A658">
        <v>41</v>
      </c>
      <c r="B658" t="s">
        <v>1010</v>
      </c>
      <c r="C658">
        <v>1</v>
      </c>
      <c r="D658" t="s">
        <v>1016</v>
      </c>
      <c r="E658" t="s">
        <v>1012</v>
      </c>
      <c r="F658" t="s">
        <v>1013</v>
      </c>
      <c r="G658" s="5">
        <v>888</v>
      </c>
      <c r="H658">
        <v>12</v>
      </c>
      <c r="I658" t="s">
        <v>1019</v>
      </c>
      <c r="J658" t="str">
        <f t="shared" si="40"/>
        <v>Low Risk</v>
      </c>
      <c r="K658" t="str">
        <f t="shared" si="41"/>
        <v>Senior</v>
      </c>
      <c r="L658" t="str">
        <f t="shared" si="42"/>
        <v>Medium</v>
      </c>
      <c r="M658" t="str">
        <f t="shared" si="43"/>
        <v>Low Risk</v>
      </c>
    </row>
    <row r="659" spans="1:13" x14ac:dyDescent="0.3">
      <c r="A659">
        <v>37</v>
      </c>
      <c r="B659" t="s">
        <v>1010</v>
      </c>
      <c r="C659">
        <v>2</v>
      </c>
      <c r="D659" t="s">
        <v>1016</v>
      </c>
      <c r="E659" t="s">
        <v>1011</v>
      </c>
      <c r="F659" t="s">
        <v>1011</v>
      </c>
      <c r="G659" s="5">
        <v>10222</v>
      </c>
      <c r="H659">
        <v>48</v>
      </c>
      <c r="I659" t="s">
        <v>1023</v>
      </c>
      <c r="J659" t="str">
        <f t="shared" si="40"/>
        <v>High Risk</v>
      </c>
      <c r="K659" t="str">
        <f t="shared" si="41"/>
        <v>Senior</v>
      </c>
      <c r="L659" t="str">
        <f t="shared" si="42"/>
        <v>Long</v>
      </c>
      <c r="M659" t="str">
        <f t="shared" si="43"/>
        <v>HighRisk</v>
      </c>
    </row>
    <row r="660" spans="1:13" x14ac:dyDescent="0.3">
      <c r="A660">
        <v>28</v>
      </c>
      <c r="B660" t="s">
        <v>1009</v>
      </c>
      <c r="C660">
        <v>2</v>
      </c>
      <c r="D660" t="s">
        <v>1016</v>
      </c>
      <c r="E660" t="s">
        <v>1012</v>
      </c>
      <c r="F660" t="s">
        <v>1013</v>
      </c>
      <c r="G660" s="5">
        <v>4221</v>
      </c>
      <c r="H660">
        <v>30</v>
      </c>
      <c r="I660" t="s">
        <v>1018</v>
      </c>
      <c r="J660" t="str">
        <f t="shared" si="40"/>
        <v>Medium Risk</v>
      </c>
      <c r="K660" t="str">
        <f t="shared" si="41"/>
        <v>Young</v>
      </c>
      <c r="L660" t="str">
        <f t="shared" si="42"/>
        <v>Medium</v>
      </c>
      <c r="M660" t="str">
        <f t="shared" si="43"/>
        <v>Medium Risk</v>
      </c>
    </row>
    <row r="661" spans="1:13" x14ac:dyDescent="0.3">
      <c r="A661">
        <v>41</v>
      </c>
      <c r="B661" t="s">
        <v>1010</v>
      </c>
      <c r="C661">
        <v>2</v>
      </c>
      <c r="D661" t="s">
        <v>1016</v>
      </c>
      <c r="E661" t="s">
        <v>1012</v>
      </c>
      <c r="F661" t="s">
        <v>1013</v>
      </c>
      <c r="G661" s="5">
        <v>6361</v>
      </c>
      <c r="H661">
        <v>18</v>
      </c>
      <c r="I661" t="s">
        <v>1022</v>
      </c>
      <c r="J661" t="str">
        <f t="shared" si="40"/>
        <v>Low Risk</v>
      </c>
      <c r="K661" t="str">
        <f t="shared" si="41"/>
        <v>Senior</v>
      </c>
      <c r="L661" t="str">
        <f t="shared" si="42"/>
        <v>Medium</v>
      </c>
      <c r="M661" t="str">
        <f t="shared" si="43"/>
        <v>HighRisk</v>
      </c>
    </row>
    <row r="662" spans="1:13" x14ac:dyDescent="0.3">
      <c r="A662">
        <v>23</v>
      </c>
      <c r="B662" t="s">
        <v>1010</v>
      </c>
      <c r="C662">
        <v>2</v>
      </c>
      <c r="D662" t="s">
        <v>1017</v>
      </c>
      <c r="E662" t="s">
        <v>1012</v>
      </c>
      <c r="F662" t="s">
        <v>1008</v>
      </c>
      <c r="G662" s="5">
        <v>1297</v>
      </c>
      <c r="H662">
        <v>12</v>
      </c>
      <c r="I662" t="s">
        <v>1023</v>
      </c>
      <c r="J662" t="str">
        <f t="shared" si="40"/>
        <v>Low Risk</v>
      </c>
      <c r="K662" t="str">
        <f t="shared" si="41"/>
        <v>Young</v>
      </c>
      <c r="L662" t="str">
        <f t="shared" si="42"/>
        <v>Medium</v>
      </c>
      <c r="M662" t="str">
        <f t="shared" si="43"/>
        <v>Low Risk</v>
      </c>
    </row>
    <row r="663" spans="1:13" x14ac:dyDescent="0.3">
      <c r="A663">
        <v>23</v>
      </c>
      <c r="B663" t="s">
        <v>1010</v>
      </c>
      <c r="C663">
        <v>2</v>
      </c>
      <c r="D663" t="s">
        <v>1016</v>
      </c>
      <c r="E663" t="s">
        <v>1011</v>
      </c>
      <c r="F663" t="s">
        <v>1012</v>
      </c>
      <c r="G663" s="5">
        <v>900</v>
      </c>
      <c r="H663">
        <v>12</v>
      </c>
      <c r="I663" t="s">
        <v>1019</v>
      </c>
      <c r="J663" t="str">
        <f t="shared" si="40"/>
        <v>Low Risk</v>
      </c>
      <c r="K663" t="str">
        <f t="shared" si="41"/>
        <v>Young</v>
      </c>
      <c r="L663" t="str">
        <f t="shared" si="42"/>
        <v>Medium</v>
      </c>
      <c r="M663" t="str">
        <f t="shared" si="43"/>
        <v>Low Risk</v>
      </c>
    </row>
    <row r="664" spans="1:13" x14ac:dyDescent="0.3">
      <c r="A664">
        <v>50</v>
      </c>
      <c r="B664" t="s">
        <v>1010</v>
      </c>
      <c r="C664">
        <v>2</v>
      </c>
      <c r="D664" t="s">
        <v>1016</v>
      </c>
      <c r="E664" t="s">
        <v>1012</v>
      </c>
      <c r="F664" t="s">
        <v>1011</v>
      </c>
      <c r="G664" s="5">
        <v>2241</v>
      </c>
      <c r="H664">
        <v>21</v>
      </c>
      <c r="I664" t="s">
        <v>1022</v>
      </c>
      <c r="J664" t="str">
        <f t="shared" si="40"/>
        <v>Low Risk</v>
      </c>
      <c r="K664" t="str">
        <f t="shared" si="41"/>
        <v>Senior</v>
      </c>
      <c r="L664" t="str">
        <f t="shared" si="42"/>
        <v>Medium</v>
      </c>
      <c r="M664" t="str">
        <f t="shared" si="43"/>
        <v>Low Risk</v>
      </c>
    </row>
    <row r="665" spans="1:13" x14ac:dyDescent="0.3">
      <c r="A665">
        <v>35</v>
      </c>
      <c r="B665" t="s">
        <v>1010</v>
      </c>
      <c r="C665">
        <v>3</v>
      </c>
      <c r="D665" t="s">
        <v>1016</v>
      </c>
      <c r="E665" t="s">
        <v>1012</v>
      </c>
      <c r="F665" t="s">
        <v>1013</v>
      </c>
      <c r="G665" s="5">
        <v>1050</v>
      </c>
      <c r="H665">
        <v>6</v>
      </c>
      <c r="I665" t="s">
        <v>1022</v>
      </c>
      <c r="J665" t="str">
        <f t="shared" si="40"/>
        <v>Low Risk</v>
      </c>
      <c r="K665" t="str">
        <f t="shared" si="41"/>
        <v>Senior</v>
      </c>
      <c r="L665" t="str">
        <f t="shared" si="42"/>
        <v>Short</v>
      </c>
      <c r="M665" t="str">
        <f t="shared" si="43"/>
        <v>Low Risk</v>
      </c>
    </row>
    <row r="666" spans="1:13" x14ac:dyDescent="0.3">
      <c r="A666">
        <v>50</v>
      </c>
      <c r="B666" t="s">
        <v>1009</v>
      </c>
      <c r="C666">
        <v>1</v>
      </c>
      <c r="D666" t="s">
        <v>1016</v>
      </c>
      <c r="E666" t="s">
        <v>1012</v>
      </c>
      <c r="F666" t="s">
        <v>1008</v>
      </c>
      <c r="G666" s="5">
        <v>1047</v>
      </c>
      <c r="H666">
        <v>6</v>
      </c>
      <c r="I666" t="s">
        <v>1021</v>
      </c>
      <c r="J666" t="str">
        <f t="shared" si="40"/>
        <v>Low Risk</v>
      </c>
      <c r="K666" t="str">
        <f t="shared" si="41"/>
        <v>Senior</v>
      </c>
      <c r="L666" t="str">
        <f t="shared" si="42"/>
        <v>Short</v>
      </c>
      <c r="M666" t="str">
        <f t="shared" si="43"/>
        <v>Low Risk</v>
      </c>
    </row>
    <row r="667" spans="1:13" x14ac:dyDescent="0.3">
      <c r="A667">
        <v>27</v>
      </c>
      <c r="B667" t="s">
        <v>1010</v>
      </c>
      <c r="C667">
        <v>3</v>
      </c>
      <c r="D667" t="s">
        <v>1016</v>
      </c>
      <c r="E667" t="s">
        <v>1012</v>
      </c>
      <c r="F667" t="s">
        <v>1011</v>
      </c>
      <c r="G667" s="5">
        <v>6314</v>
      </c>
      <c r="H667">
        <v>24</v>
      </c>
      <c r="I667" t="s">
        <v>1025</v>
      </c>
      <c r="J667" t="str">
        <f t="shared" si="40"/>
        <v>Low Risk</v>
      </c>
      <c r="K667" t="str">
        <f t="shared" si="41"/>
        <v>Young</v>
      </c>
      <c r="L667" t="str">
        <f t="shared" si="42"/>
        <v>Medium</v>
      </c>
      <c r="M667" t="str">
        <f t="shared" si="43"/>
        <v>HighRisk</v>
      </c>
    </row>
    <row r="668" spans="1:13" x14ac:dyDescent="0.3">
      <c r="A668">
        <v>34</v>
      </c>
      <c r="B668" t="s">
        <v>1010</v>
      </c>
      <c r="C668">
        <v>2</v>
      </c>
      <c r="D668" t="s">
        <v>1016</v>
      </c>
      <c r="E668" t="s">
        <v>1008</v>
      </c>
      <c r="F668" t="s">
        <v>1013</v>
      </c>
      <c r="G668" s="5">
        <v>3496</v>
      </c>
      <c r="H668">
        <v>30</v>
      </c>
      <c r="I668" t="s">
        <v>1022</v>
      </c>
      <c r="J668" t="str">
        <f t="shared" si="40"/>
        <v>Low Risk</v>
      </c>
      <c r="K668" t="str">
        <f t="shared" si="41"/>
        <v>Senior</v>
      </c>
      <c r="L668" t="str">
        <f t="shared" si="42"/>
        <v>Medium</v>
      </c>
      <c r="M668" t="str">
        <f t="shared" si="43"/>
        <v>Medium Risk</v>
      </c>
    </row>
    <row r="669" spans="1:13" x14ac:dyDescent="0.3">
      <c r="A669">
        <v>27</v>
      </c>
      <c r="B669" t="s">
        <v>1009</v>
      </c>
      <c r="C669">
        <v>2</v>
      </c>
      <c r="D669" t="s">
        <v>1016</v>
      </c>
      <c r="E669" t="s">
        <v>1012</v>
      </c>
      <c r="F669" t="s">
        <v>1011</v>
      </c>
      <c r="G669" s="5">
        <v>3609</v>
      </c>
      <c r="H669">
        <v>48</v>
      </c>
      <c r="I669" t="s">
        <v>1018</v>
      </c>
      <c r="J669" t="str">
        <f t="shared" si="40"/>
        <v>High Risk</v>
      </c>
      <c r="K669" t="str">
        <f t="shared" si="41"/>
        <v>Young</v>
      </c>
      <c r="L669" t="str">
        <f t="shared" si="42"/>
        <v>Long</v>
      </c>
      <c r="M669" t="str">
        <f t="shared" si="43"/>
        <v>Medium Risk</v>
      </c>
    </row>
    <row r="670" spans="1:13" x14ac:dyDescent="0.3">
      <c r="A670">
        <v>43</v>
      </c>
      <c r="B670" t="s">
        <v>1010</v>
      </c>
      <c r="C670">
        <v>2</v>
      </c>
      <c r="D670" t="s">
        <v>1017</v>
      </c>
      <c r="E670" t="s">
        <v>1012</v>
      </c>
      <c r="F670" t="s">
        <v>1012</v>
      </c>
      <c r="G670" s="5">
        <v>4843</v>
      </c>
      <c r="H670">
        <v>12</v>
      </c>
      <c r="I670" t="s">
        <v>1019</v>
      </c>
      <c r="J670" t="str">
        <f t="shared" si="40"/>
        <v>Low Risk</v>
      </c>
      <c r="K670" t="str">
        <f t="shared" si="41"/>
        <v>Senior</v>
      </c>
      <c r="L670" t="str">
        <f t="shared" si="42"/>
        <v>Medium</v>
      </c>
      <c r="M670" t="str">
        <f t="shared" si="43"/>
        <v>Medium Risk</v>
      </c>
    </row>
    <row r="671" spans="1:13" x14ac:dyDescent="0.3">
      <c r="A671">
        <v>47</v>
      </c>
      <c r="B671" t="s">
        <v>1010</v>
      </c>
      <c r="C671">
        <v>2</v>
      </c>
      <c r="D671" t="s">
        <v>1016</v>
      </c>
      <c r="E671" t="s">
        <v>1012</v>
      </c>
      <c r="F671" t="s">
        <v>1008</v>
      </c>
      <c r="G671" s="5">
        <v>3017</v>
      </c>
      <c r="H671">
        <v>30</v>
      </c>
      <c r="I671" t="s">
        <v>1023</v>
      </c>
      <c r="J671" t="str">
        <f t="shared" si="40"/>
        <v>Low Risk</v>
      </c>
      <c r="K671" t="str">
        <f t="shared" si="41"/>
        <v>Senior</v>
      </c>
      <c r="L671" t="str">
        <f t="shared" si="42"/>
        <v>Medium</v>
      </c>
      <c r="M671" t="str">
        <f t="shared" si="43"/>
        <v>Medium Risk</v>
      </c>
    </row>
    <row r="672" spans="1:13" x14ac:dyDescent="0.3">
      <c r="A672">
        <v>27</v>
      </c>
      <c r="B672" t="s">
        <v>1010</v>
      </c>
      <c r="C672">
        <v>1</v>
      </c>
      <c r="D672" t="s">
        <v>1016</v>
      </c>
      <c r="E672" t="s">
        <v>1013</v>
      </c>
      <c r="F672" t="s">
        <v>1011</v>
      </c>
      <c r="G672" s="5">
        <v>4139</v>
      </c>
      <c r="H672">
        <v>24</v>
      </c>
      <c r="I672" t="s">
        <v>1018</v>
      </c>
      <c r="J672" t="str">
        <f t="shared" si="40"/>
        <v>Low Risk</v>
      </c>
      <c r="K672" t="str">
        <f t="shared" si="41"/>
        <v>Young</v>
      </c>
      <c r="L672" t="str">
        <f t="shared" si="42"/>
        <v>Medium</v>
      </c>
      <c r="M672" t="str">
        <f t="shared" si="43"/>
        <v>Medium Risk</v>
      </c>
    </row>
    <row r="673" spans="1:13" x14ac:dyDescent="0.3">
      <c r="A673">
        <v>31</v>
      </c>
      <c r="B673" t="s">
        <v>1010</v>
      </c>
      <c r="C673">
        <v>2</v>
      </c>
      <c r="D673" t="s">
        <v>1016</v>
      </c>
      <c r="E673" t="s">
        <v>1013</v>
      </c>
      <c r="F673" t="s">
        <v>1011</v>
      </c>
      <c r="G673" s="5">
        <v>5742</v>
      </c>
      <c r="H673">
        <v>36</v>
      </c>
      <c r="I673" t="s">
        <v>1018</v>
      </c>
      <c r="J673" t="str">
        <f t="shared" si="40"/>
        <v>Medium Risk</v>
      </c>
      <c r="K673" t="str">
        <f t="shared" si="41"/>
        <v>Senior</v>
      </c>
      <c r="L673" t="str">
        <f t="shared" si="42"/>
        <v>Long</v>
      </c>
      <c r="M673" t="str">
        <f t="shared" si="43"/>
        <v>Medium Risk</v>
      </c>
    </row>
    <row r="674" spans="1:13" x14ac:dyDescent="0.3">
      <c r="A674">
        <v>42</v>
      </c>
      <c r="B674" t="s">
        <v>1010</v>
      </c>
      <c r="C674">
        <v>3</v>
      </c>
      <c r="D674" t="s">
        <v>1016</v>
      </c>
      <c r="E674" t="s">
        <v>1012</v>
      </c>
      <c r="F674" t="s">
        <v>1011</v>
      </c>
      <c r="G674" s="5">
        <v>10366</v>
      </c>
      <c r="H674">
        <v>60</v>
      </c>
      <c r="I674" t="s">
        <v>1019</v>
      </c>
      <c r="J674" t="str">
        <f t="shared" si="40"/>
        <v>High Risk</v>
      </c>
      <c r="K674" t="str">
        <f t="shared" si="41"/>
        <v>Senior</v>
      </c>
      <c r="L674" t="str">
        <f t="shared" si="42"/>
        <v>Long</v>
      </c>
      <c r="M674" t="str">
        <f t="shared" si="43"/>
        <v>HighRisk</v>
      </c>
    </row>
    <row r="675" spans="1:13" x14ac:dyDescent="0.3">
      <c r="A675">
        <v>24</v>
      </c>
      <c r="B675" t="s">
        <v>1010</v>
      </c>
      <c r="C675">
        <v>2</v>
      </c>
      <c r="D675" t="s">
        <v>1016</v>
      </c>
      <c r="E675" t="s">
        <v>1014</v>
      </c>
      <c r="F675" t="s">
        <v>1011</v>
      </c>
      <c r="G675" s="5">
        <v>2080</v>
      </c>
      <c r="H675">
        <v>6</v>
      </c>
      <c r="I675" t="s">
        <v>1019</v>
      </c>
      <c r="J675" t="str">
        <f t="shared" si="40"/>
        <v>Low Risk</v>
      </c>
      <c r="K675" t="str">
        <f t="shared" si="41"/>
        <v>Young</v>
      </c>
      <c r="L675" t="str">
        <f t="shared" si="42"/>
        <v>Short</v>
      </c>
      <c r="M675" t="str">
        <f t="shared" si="43"/>
        <v>Low Risk</v>
      </c>
    </row>
    <row r="676" spans="1:13" x14ac:dyDescent="0.3">
      <c r="A676">
        <v>41</v>
      </c>
      <c r="B676" t="s">
        <v>1010</v>
      </c>
      <c r="C676">
        <v>1</v>
      </c>
      <c r="D676" t="s">
        <v>1016</v>
      </c>
      <c r="E676" t="s">
        <v>1014</v>
      </c>
      <c r="F676" t="s">
        <v>1011</v>
      </c>
      <c r="G676" s="5">
        <v>2580</v>
      </c>
      <c r="H676">
        <v>21</v>
      </c>
      <c r="I676" t="s">
        <v>1018</v>
      </c>
      <c r="J676" t="str">
        <f t="shared" si="40"/>
        <v>Low Risk</v>
      </c>
      <c r="K676" t="str">
        <f t="shared" si="41"/>
        <v>Senior</v>
      </c>
      <c r="L676" t="str">
        <f t="shared" si="42"/>
        <v>Medium</v>
      </c>
      <c r="M676" t="str">
        <f t="shared" si="43"/>
        <v>Low Risk</v>
      </c>
    </row>
    <row r="677" spans="1:13" x14ac:dyDescent="0.3">
      <c r="A677">
        <v>26</v>
      </c>
      <c r="B677" t="s">
        <v>1009</v>
      </c>
      <c r="C677">
        <v>3</v>
      </c>
      <c r="D677" t="s">
        <v>1017</v>
      </c>
      <c r="E677" t="s">
        <v>1012</v>
      </c>
      <c r="F677" t="s">
        <v>1011</v>
      </c>
      <c r="G677" s="5">
        <v>4530</v>
      </c>
      <c r="H677">
        <v>30</v>
      </c>
      <c r="I677" t="s">
        <v>1023</v>
      </c>
      <c r="J677" t="str">
        <f t="shared" si="40"/>
        <v>Medium Risk</v>
      </c>
      <c r="K677" t="str">
        <f t="shared" si="41"/>
        <v>Young</v>
      </c>
      <c r="L677" t="str">
        <f t="shared" si="42"/>
        <v>Medium</v>
      </c>
      <c r="M677" t="str">
        <f t="shared" si="43"/>
        <v>Medium Risk</v>
      </c>
    </row>
    <row r="678" spans="1:13" x14ac:dyDescent="0.3">
      <c r="A678">
        <v>33</v>
      </c>
      <c r="B678" t="s">
        <v>1010</v>
      </c>
      <c r="C678">
        <v>2</v>
      </c>
      <c r="D678" t="s">
        <v>1016</v>
      </c>
      <c r="E678" t="s">
        <v>1012</v>
      </c>
      <c r="F678" t="s">
        <v>1011</v>
      </c>
      <c r="G678" s="5">
        <v>5150</v>
      </c>
      <c r="H678">
        <v>24</v>
      </c>
      <c r="I678" t="s">
        <v>1022</v>
      </c>
      <c r="J678" t="str">
        <f t="shared" si="40"/>
        <v>Low Risk</v>
      </c>
      <c r="K678" t="str">
        <f t="shared" si="41"/>
        <v>Senior</v>
      </c>
      <c r="L678" t="str">
        <f t="shared" si="42"/>
        <v>Medium</v>
      </c>
      <c r="M678" t="str">
        <f t="shared" si="43"/>
        <v>Medium Risk</v>
      </c>
    </row>
    <row r="679" spans="1:13" x14ac:dyDescent="0.3">
      <c r="A679">
        <v>24</v>
      </c>
      <c r="B679" t="s">
        <v>1010</v>
      </c>
      <c r="C679">
        <v>2</v>
      </c>
      <c r="D679" t="s">
        <v>1016</v>
      </c>
      <c r="E679" t="s">
        <v>1013</v>
      </c>
      <c r="F679" t="s">
        <v>1013</v>
      </c>
      <c r="G679" s="5">
        <v>5595</v>
      </c>
      <c r="H679">
        <v>72</v>
      </c>
      <c r="I679" t="s">
        <v>1023</v>
      </c>
      <c r="J679" t="str">
        <f t="shared" si="40"/>
        <v>High Risk</v>
      </c>
      <c r="K679" t="str">
        <f t="shared" si="41"/>
        <v>Young</v>
      </c>
      <c r="L679" t="str">
        <f t="shared" si="42"/>
        <v>Long</v>
      </c>
      <c r="M679" t="str">
        <f t="shared" si="43"/>
        <v>Medium Risk</v>
      </c>
    </row>
    <row r="680" spans="1:13" x14ac:dyDescent="0.3">
      <c r="A680">
        <v>64</v>
      </c>
      <c r="B680" t="s">
        <v>1010</v>
      </c>
      <c r="C680">
        <v>1</v>
      </c>
      <c r="D680" t="s">
        <v>1017</v>
      </c>
      <c r="E680" t="s">
        <v>1012</v>
      </c>
      <c r="F680" t="s">
        <v>1012</v>
      </c>
      <c r="G680" s="5">
        <v>2384</v>
      </c>
      <c r="H680">
        <v>24</v>
      </c>
      <c r="I680" t="s">
        <v>1023</v>
      </c>
      <c r="J680" t="str">
        <f t="shared" si="40"/>
        <v>Low Risk</v>
      </c>
      <c r="K680" t="str">
        <f t="shared" si="41"/>
        <v>Adult</v>
      </c>
      <c r="L680" t="str">
        <f t="shared" si="42"/>
        <v>Medium</v>
      </c>
      <c r="M680" t="str">
        <f t="shared" si="43"/>
        <v>Low Risk</v>
      </c>
    </row>
    <row r="681" spans="1:13" x14ac:dyDescent="0.3">
      <c r="A681">
        <v>26</v>
      </c>
      <c r="B681" t="s">
        <v>1009</v>
      </c>
      <c r="C681">
        <v>2</v>
      </c>
      <c r="D681" t="s">
        <v>1016</v>
      </c>
      <c r="E681" t="s">
        <v>1012</v>
      </c>
      <c r="F681" t="s">
        <v>1011</v>
      </c>
      <c r="G681" s="5">
        <v>1453</v>
      </c>
      <c r="H681">
        <v>18</v>
      </c>
      <c r="I681" t="s">
        <v>1023</v>
      </c>
      <c r="J681" t="str">
        <f t="shared" si="40"/>
        <v>Low Risk</v>
      </c>
      <c r="K681" t="str">
        <f t="shared" si="41"/>
        <v>Young</v>
      </c>
      <c r="L681" t="str">
        <f t="shared" si="42"/>
        <v>Medium</v>
      </c>
      <c r="M681" t="str">
        <f t="shared" si="43"/>
        <v>Low Risk</v>
      </c>
    </row>
    <row r="682" spans="1:13" x14ac:dyDescent="0.3">
      <c r="A682">
        <v>56</v>
      </c>
      <c r="B682" t="s">
        <v>1009</v>
      </c>
      <c r="C682">
        <v>2</v>
      </c>
      <c r="D682" t="s">
        <v>1016</v>
      </c>
      <c r="E682" t="s">
        <v>1012</v>
      </c>
      <c r="F682" t="s">
        <v>1011</v>
      </c>
      <c r="G682" s="5">
        <v>1538</v>
      </c>
      <c r="H682">
        <v>6</v>
      </c>
      <c r="I682" t="s">
        <v>1021</v>
      </c>
      <c r="J682" t="str">
        <f t="shared" si="40"/>
        <v>Low Risk</v>
      </c>
      <c r="K682" t="str">
        <f t="shared" si="41"/>
        <v>Adult</v>
      </c>
      <c r="L682" t="str">
        <f t="shared" si="42"/>
        <v>Short</v>
      </c>
      <c r="M682" t="str">
        <f t="shared" si="43"/>
        <v>Low Risk</v>
      </c>
    </row>
    <row r="683" spans="1:13" x14ac:dyDescent="0.3">
      <c r="A683">
        <v>37</v>
      </c>
      <c r="B683" t="s">
        <v>1010</v>
      </c>
      <c r="C683">
        <v>2</v>
      </c>
      <c r="D683" t="s">
        <v>1015</v>
      </c>
      <c r="E683" t="s">
        <v>1011</v>
      </c>
      <c r="F683" t="s">
        <v>1011</v>
      </c>
      <c r="G683" s="5">
        <v>2279</v>
      </c>
      <c r="H683">
        <v>12</v>
      </c>
      <c r="I683" t="s">
        <v>1023</v>
      </c>
      <c r="J683" t="str">
        <f t="shared" si="40"/>
        <v>Low Risk</v>
      </c>
      <c r="K683" t="str">
        <f t="shared" si="41"/>
        <v>Senior</v>
      </c>
      <c r="L683" t="str">
        <f t="shared" si="42"/>
        <v>Medium</v>
      </c>
      <c r="M683" t="str">
        <f t="shared" si="43"/>
        <v>Low Risk</v>
      </c>
    </row>
    <row r="684" spans="1:13" x14ac:dyDescent="0.3">
      <c r="A684">
        <v>33</v>
      </c>
      <c r="B684" t="s">
        <v>1010</v>
      </c>
      <c r="C684">
        <v>2</v>
      </c>
      <c r="D684" t="s">
        <v>1016</v>
      </c>
      <c r="E684" t="s">
        <v>1012</v>
      </c>
      <c r="F684" t="s">
        <v>1011</v>
      </c>
      <c r="G684" s="5">
        <v>1478</v>
      </c>
      <c r="H684">
        <v>15</v>
      </c>
      <c r="I684" t="s">
        <v>1023</v>
      </c>
      <c r="J684" t="str">
        <f t="shared" si="40"/>
        <v>Low Risk</v>
      </c>
      <c r="K684" t="str">
        <f t="shared" si="41"/>
        <v>Senior</v>
      </c>
      <c r="L684" t="str">
        <f t="shared" si="42"/>
        <v>Medium</v>
      </c>
      <c r="M684" t="str">
        <f t="shared" si="43"/>
        <v>Low Risk</v>
      </c>
    </row>
    <row r="685" spans="1:13" x14ac:dyDescent="0.3">
      <c r="A685">
        <v>47</v>
      </c>
      <c r="B685" t="s">
        <v>1010</v>
      </c>
      <c r="C685">
        <v>2</v>
      </c>
      <c r="D685" t="s">
        <v>1015</v>
      </c>
      <c r="E685" t="s">
        <v>1012</v>
      </c>
      <c r="F685" t="s">
        <v>1011</v>
      </c>
      <c r="G685" s="5">
        <v>5103</v>
      </c>
      <c r="H685">
        <v>24</v>
      </c>
      <c r="I685" t="s">
        <v>1023</v>
      </c>
      <c r="J685" t="str">
        <f t="shared" si="40"/>
        <v>Low Risk</v>
      </c>
      <c r="K685" t="str">
        <f t="shared" si="41"/>
        <v>Senior</v>
      </c>
      <c r="L685" t="str">
        <f t="shared" si="42"/>
        <v>Medium</v>
      </c>
      <c r="M685" t="str">
        <f t="shared" si="43"/>
        <v>Medium Risk</v>
      </c>
    </row>
    <row r="686" spans="1:13" x14ac:dyDescent="0.3">
      <c r="A686">
        <v>31</v>
      </c>
      <c r="B686" t="s">
        <v>1010</v>
      </c>
      <c r="C686">
        <v>1</v>
      </c>
      <c r="D686" t="s">
        <v>1016</v>
      </c>
      <c r="E686" t="s">
        <v>1013</v>
      </c>
      <c r="F686" t="s">
        <v>1013</v>
      </c>
      <c r="G686" s="5">
        <v>9857</v>
      </c>
      <c r="H686">
        <v>36</v>
      </c>
      <c r="I686" t="s">
        <v>1018</v>
      </c>
      <c r="J686" t="str">
        <f t="shared" si="40"/>
        <v>High Risk</v>
      </c>
      <c r="K686" t="str">
        <f t="shared" si="41"/>
        <v>Senior</v>
      </c>
      <c r="L686" t="str">
        <f t="shared" si="42"/>
        <v>Long</v>
      </c>
      <c r="M686" t="str">
        <f t="shared" si="43"/>
        <v>HighRisk</v>
      </c>
    </row>
    <row r="687" spans="1:13" x14ac:dyDescent="0.3">
      <c r="A687">
        <v>34</v>
      </c>
      <c r="B687" t="s">
        <v>1010</v>
      </c>
      <c r="C687">
        <v>2</v>
      </c>
      <c r="D687" t="s">
        <v>1015</v>
      </c>
      <c r="E687" t="s">
        <v>1011</v>
      </c>
      <c r="F687" t="s">
        <v>1011</v>
      </c>
      <c r="G687" s="5">
        <v>6527</v>
      </c>
      <c r="H687">
        <v>60</v>
      </c>
      <c r="I687" t="s">
        <v>1019</v>
      </c>
      <c r="J687" t="str">
        <f t="shared" si="40"/>
        <v>High Risk</v>
      </c>
      <c r="K687" t="str">
        <f t="shared" si="41"/>
        <v>Senior</v>
      </c>
      <c r="L687" t="str">
        <f t="shared" si="42"/>
        <v>Long</v>
      </c>
      <c r="M687" t="str">
        <f t="shared" si="43"/>
        <v>HighRisk</v>
      </c>
    </row>
    <row r="688" spans="1:13" x14ac:dyDescent="0.3">
      <c r="A688">
        <v>27</v>
      </c>
      <c r="B688" t="s">
        <v>1010</v>
      </c>
      <c r="C688">
        <v>2</v>
      </c>
      <c r="D688" t="s">
        <v>1016</v>
      </c>
      <c r="E688" t="s">
        <v>1011</v>
      </c>
      <c r="F688" t="s">
        <v>1008</v>
      </c>
      <c r="G688" s="5">
        <v>1347</v>
      </c>
      <c r="H688">
        <v>10</v>
      </c>
      <c r="I688" t="s">
        <v>1023</v>
      </c>
      <c r="J688" t="str">
        <f t="shared" si="40"/>
        <v>Low Risk</v>
      </c>
      <c r="K688" t="str">
        <f t="shared" si="41"/>
        <v>Young</v>
      </c>
      <c r="L688" t="str">
        <f t="shared" si="42"/>
        <v>Short</v>
      </c>
      <c r="M688" t="str">
        <f t="shared" si="43"/>
        <v>Low Risk</v>
      </c>
    </row>
    <row r="689" spans="1:13" x14ac:dyDescent="0.3">
      <c r="A689">
        <v>30</v>
      </c>
      <c r="B689" t="s">
        <v>1010</v>
      </c>
      <c r="C689">
        <v>2</v>
      </c>
      <c r="D689" t="s">
        <v>1015</v>
      </c>
      <c r="E689" t="s">
        <v>1013</v>
      </c>
      <c r="F689" t="s">
        <v>1013</v>
      </c>
      <c r="G689" s="5">
        <v>2862</v>
      </c>
      <c r="H689">
        <v>36</v>
      </c>
      <c r="I689" t="s">
        <v>1019</v>
      </c>
      <c r="J689" t="str">
        <f t="shared" si="40"/>
        <v>Low Risk</v>
      </c>
      <c r="K689" t="str">
        <f t="shared" si="41"/>
        <v>Senior</v>
      </c>
      <c r="L689" t="str">
        <f t="shared" si="42"/>
        <v>Long</v>
      </c>
      <c r="M689" t="str">
        <f t="shared" si="43"/>
        <v>Low Risk</v>
      </c>
    </row>
    <row r="690" spans="1:13" x14ac:dyDescent="0.3">
      <c r="A690">
        <v>35</v>
      </c>
      <c r="B690" t="s">
        <v>1010</v>
      </c>
      <c r="C690">
        <v>2</v>
      </c>
      <c r="D690" t="s">
        <v>1016</v>
      </c>
      <c r="E690" t="s">
        <v>1013</v>
      </c>
      <c r="F690" t="s">
        <v>1011</v>
      </c>
      <c r="G690" s="5">
        <v>2753</v>
      </c>
      <c r="H690">
        <v>9</v>
      </c>
      <c r="I690" t="s">
        <v>1023</v>
      </c>
      <c r="J690" t="str">
        <f t="shared" si="40"/>
        <v>Low Risk</v>
      </c>
      <c r="K690" t="str">
        <f t="shared" si="41"/>
        <v>Senior</v>
      </c>
      <c r="L690" t="str">
        <f t="shared" si="42"/>
        <v>Short</v>
      </c>
      <c r="M690" t="str">
        <f t="shared" si="43"/>
        <v>Low Risk</v>
      </c>
    </row>
    <row r="691" spans="1:13" x14ac:dyDescent="0.3">
      <c r="A691">
        <v>31</v>
      </c>
      <c r="B691" t="s">
        <v>1010</v>
      </c>
      <c r="C691">
        <v>2</v>
      </c>
      <c r="D691" t="s">
        <v>1016</v>
      </c>
      <c r="E691" t="s">
        <v>1008</v>
      </c>
      <c r="F691" t="s">
        <v>1012</v>
      </c>
      <c r="G691" s="5">
        <v>3651</v>
      </c>
      <c r="H691">
        <v>12</v>
      </c>
      <c r="I691" t="s">
        <v>1019</v>
      </c>
      <c r="J691" t="str">
        <f t="shared" si="40"/>
        <v>Low Risk</v>
      </c>
      <c r="K691" t="str">
        <f t="shared" si="41"/>
        <v>Senior</v>
      </c>
      <c r="L691" t="str">
        <f t="shared" si="42"/>
        <v>Medium</v>
      </c>
      <c r="M691" t="str">
        <f t="shared" si="43"/>
        <v>Medium Risk</v>
      </c>
    </row>
    <row r="692" spans="1:13" x14ac:dyDescent="0.3">
      <c r="A692">
        <v>25</v>
      </c>
      <c r="B692" t="s">
        <v>1010</v>
      </c>
      <c r="C692">
        <v>2</v>
      </c>
      <c r="D692" t="s">
        <v>1016</v>
      </c>
      <c r="E692" t="s">
        <v>1012</v>
      </c>
      <c r="F692" t="s">
        <v>1012</v>
      </c>
      <c r="G692" s="5">
        <v>975</v>
      </c>
      <c r="H692">
        <v>15</v>
      </c>
      <c r="I692" t="s">
        <v>1022</v>
      </c>
      <c r="J692" t="str">
        <f t="shared" si="40"/>
        <v>Low Risk</v>
      </c>
      <c r="K692" t="str">
        <f t="shared" si="41"/>
        <v>Young</v>
      </c>
      <c r="L692" t="str">
        <f t="shared" si="42"/>
        <v>Medium</v>
      </c>
      <c r="M692" t="str">
        <f t="shared" si="43"/>
        <v>Low Risk</v>
      </c>
    </row>
    <row r="693" spans="1:13" x14ac:dyDescent="0.3">
      <c r="A693">
        <v>25</v>
      </c>
      <c r="B693" t="s">
        <v>1009</v>
      </c>
      <c r="C693">
        <v>1</v>
      </c>
      <c r="D693" t="s">
        <v>1016</v>
      </c>
      <c r="E693" t="s">
        <v>1013</v>
      </c>
      <c r="F693" t="s">
        <v>1013</v>
      </c>
      <c r="G693" s="5">
        <v>2631</v>
      </c>
      <c r="H693">
        <v>15</v>
      </c>
      <c r="I693" t="s">
        <v>1024</v>
      </c>
      <c r="J693" t="str">
        <f t="shared" si="40"/>
        <v>Low Risk</v>
      </c>
      <c r="K693" t="str">
        <f t="shared" si="41"/>
        <v>Young</v>
      </c>
      <c r="L693" t="str">
        <f t="shared" si="42"/>
        <v>Medium</v>
      </c>
      <c r="M693" t="str">
        <f t="shared" si="43"/>
        <v>Low Risk</v>
      </c>
    </row>
    <row r="694" spans="1:13" x14ac:dyDescent="0.3">
      <c r="A694">
        <v>29</v>
      </c>
      <c r="B694" t="s">
        <v>1010</v>
      </c>
      <c r="C694">
        <v>2</v>
      </c>
      <c r="D694" t="s">
        <v>1016</v>
      </c>
      <c r="E694" t="s">
        <v>1013</v>
      </c>
      <c r="F694" t="s">
        <v>1013</v>
      </c>
      <c r="G694" s="5">
        <v>2896</v>
      </c>
      <c r="H694">
        <v>24</v>
      </c>
      <c r="I694" t="s">
        <v>1023</v>
      </c>
      <c r="J694" t="str">
        <f t="shared" si="40"/>
        <v>Low Risk</v>
      </c>
      <c r="K694" t="str">
        <f t="shared" si="41"/>
        <v>Young</v>
      </c>
      <c r="L694" t="str">
        <f t="shared" si="42"/>
        <v>Medium</v>
      </c>
      <c r="M694" t="str">
        <f t="shared" si="43"/>
        <v>Low Risk</v>
      </c>
    </row>
    <row r="695" spans="1:13" x14ac:dyDescent="0.3">
      <c r="A695">
        <v>44</v>
      </c>
      <c r="B695" t="s">
        <v>1010</v>
      </c>
      <c r="C695">
        <v>1</v>
      </c>
      <c r="D695" t="s">
        <v>1016</v>
      </c>
      <c r="E695" t="s">
        <v>1011</v>
      </c>
      <c r="F695" t="s">
        <v>1012</v>
      </c>
      <c r="G695" s="5">
        <v>4716</v>
      </c>
      <c r="H695">
        <v>6</v>
      </c>
      <c r="I695" t="s">
        <v>1019</v>
      </c>
      <c r="J695" t="str">
        <f t="shared" si="40"/>
        <v>Low Risk</v>
      </c>
      <c r="K695" t="str">
        <f t="shared" si="41"/>
        <v>Senior</v>
      </c>
      <c r="L695" t="str">
        <f t="shared" si="42"/>
        <v>Short</v>
      </c>
      <c r="M695" t="str">
        <f t="shared" si="43"/>
        <v>Medium Risk</v>
      </c>
    </row>
    <row r="696" spans="1:13" x14ac:dyDescent="0.3">
      <c r="A696">
        <v>28</v>
      </c>
      <c r="B696" t="s">
        <v>1010</v>
      </c>
      <c r="C696">
        <v>2</v>
      </c>
      <c r="D696" t="s">
        <v>1016</v>
      </c>
      <c r="E696" t="s">
        <v>1012</v>
      </c>
      <c r="F696" t="s">
        <v>1011</v>
      </c>
      <c r="G696" s="5">
        <v>2284</v>
      </c>
      <c r="H696">
        <v>24</v>
      </c>
      <c r="I696" t="s">
        <v>1023</v>
      </c>
      <c r="J696" t="str">
        <f t="shared" si="40"/>
        <v>Low Risk</v>
      </c>
      <c r="K696" t="str">
        <f t="shared" si="41"/>
        <v>Young</v>
      </c>
      <c r="L696" t="str">
        <f t="shared" si="42"/>
        <v>Medium</v>
      </c>
      <c r="M696" t="str">
        <f t="shared" si="43"/>
        <v>Low Risk</v>
      </c>
    </row>
    <row r="697" spans="1:13" x14ac:dyDescent="0.3">
      <c r="A697">
        <v>50</v>
      </c>
      <c r="B697" t="s">
        <v>1010</v>
      </c>
      <c r="C697">
        <v>2</v>
      </c>
      <c r="D697" t="s">
        <v>1017</v>
      </c>
      <c r="E697" t="s">
        <v>1014</v>
      </c>
      <c r="F697" t="s">
        <v>1011</v>
      </c>
      <c r="G697" s="5">
        <v>1236</v>
      </c>
      <c r="H697">
        <v>6</v>
      </c>
      <c r="I697" t="s">
        <v>1019</v>
      </c>
      <c r="J697" t="str">
        <f t="shared" si="40"/>
        <v>Low Risk</v>
      </c>
      <c r="K697" t="str">
        <f t="shared" si="41"/>
        <v>Senior</v>
      </c>
      <c r="L697" t="str">
        <f t="shared" si="42"/>
        <v>Short</v>
      </c>
      <c r="M697" t="str">
        <f t="shared" si="43"/>
        <v>Low Risk</v>
      </c>
    </row>
    <row r="698" spans="1:13" x14ac:dyDescent="0.3">
      <c r="A698">
        <v>29</v>
      </c>
      <c r="B698" t="s">
        <v>1010</v>
      </c>
      <c r="C698">
        <v>2</v>
      </c>
      <c r="D698" t="s">
        <v>1016</v>
      </c>
      <c r="E698" t="s">
        <v>1012</v>
      </c>
      <c r="F698" t="s">
        <v>1013</v>
      </c>
      <c r="G698" s="5">
        <v>1103</v>
      </c>
      <c r="H698">
        <v>12</v>
      </c>
      <c r="I698" t="s">
        <v>1023</v>
      </c>
      <c r="J698" t="str">
        <f t="shared" si="40"/>
        <v>Low Risk</v>
      </c>
      <c r="K698" t="str">
        <f t="shared" si="41"/>
        <v>Young</v>
      </c>
      <c r="L698" t="str">
        <f t="shared" si="42"/>
        <v>Medium</v>
      </c>
      <c r="M698" t="str">
        <f t="shared" si="43"/>
        <v>Low Risk</v>
      </c>
    </row>
    <row r="699" spans="1:13" x14ac:dyDescent="0.3">
      <c r="A699">
        <v>38</v>
      </c>
      <c r="B699" t="s">
        <v>1009</v>
      </c>
      <c r="C699">
        <v>0</v>
      </c>
      <c r="D699" t="s">
        <v>1016</v>
      </c>
      <c r="E699" t="s">
        <v>1012</v>
      </c>
      <c r="F699" t="s">
        <v>1011</v>
      </c>
      <c r="G699" s="5">
        <v>926</v>
      </c>
      <c r="H699">
        <v>12</v>
      </c>
      <c r="I699" t="s">
        <v>1019</v>
      </c>
      <c r="J699" t="str">
        <f t="shared" si="40"/>
        <v>Low Risk</v>
      </c>
      <c r="K699" t="str">
        <f t="shared" si="41"/>
        <v>Senior</v>
      </c>
      <c r="L699" t="str">
        <f t="shared" si="42"/>
        <v>Medium</v>
      </c>
      <c r="M699" t="str">
        <f t="shared" si="43"/>
        <v>Low Risk</v>
      </c>
    </row>
    <row r="700" spans="1:13" x14ac:dyDescent="0.3">
      <c r="A700">
        <v>24</v>
      </c>
      <c r="B700" t="s">
        <v>1010</v>
      </c>
      <c r="C700">
        <v>2</v>
      </c>
      <c r="D700" t="s">
        <v>1016</v>
      </c>
      <c r="E700" t="s">
        <v>1012</v>
      </c>
      <c r="F700" t="s">
        <v>1011</v>
      </c>
      <c r="G700" s="5">
        <v>1800</v>
      </c>
      <c r="H700">
        <v>18</v>
      </c>
      <c r="I700" t="s">
        <v>1023</v>
      </c>
      <c r="J700" t="str">
        <f t="shared" si="40"/>
        <v>Low Risk</v>
      </c>
      <c r="K700" t="str">
        <f t="shared" si="41"/>
        <v>Young</v>
      </c>
      <c r="L700" t="str">
        <f t="shared" si="42"/>
        <v>Medium</v>
      </c>
      <c r="M700" t="str">
        <f t="shared" si="43"/>
        <v>Low Risk</v>
      </c>
    </row>
    <row r="701" spans="1:13" x14ac:dyDescent="0.3">
      <c r="A701">
        <v>40</v>
      </c>
      <c r="B701" t="s">
        <v>1010</v>
      </c>
      <c r="C701">
        <v>3</v>
      </c>
      <c r="D701" t="s">
        <v>1017</v>
      </c>
      <c r="E701" t="s">
        <v>1012</v>
      </c>
      <c r="F701" t="s">
        <v>1008</v>
      </c>
      <c r="G701" s="5">
        <v>1905</v>
      </c>
      <c r="H701">
        <v>15</v>
      </c>
      <c r="I701" t="s">
        <v>1021</v>
      </c>
      <c r="J701" t="str">
        <f t="shared" si="40"/>
        <v>Low Risk</v>
      </c>
      <c r="K701" t="str">
        <f t="shared" si="41"/>
        <v>Senior</v>
      </c>
      <c r="L701" t="str">
        <f t="shared" si="42"/>
        <v>Medium</v>
      </c>
      <c r="M701" t="str">
        <f t="shared" si="43"/>
        <v>Low Risk</v>
      </c>
    </row>
    <row r="702" spans="1:13" x14ac:dyDescent="0.3">
      <c r="A702">
        <v>29</v>
      </c>
      <c r="B702" t="s">
        <v>1009</v>
      </c>
      <c r="C702">
        <v>1</v>
      </c>
      <c r="D702" t="s">
        <v>1017</v>
      </c>
      <c r="E702" t="s">
        <v>1014</v>
      </c>
      <c r="F702" t="s">
        <v>1011</v>
      </c>
      <c r="G702" s="5">
        <v>1123</v>
      </c>
      <c r="H702">
        <v>12</v>
      </c>
      <c r="I702" t="s">
        <v>1022</v>
      </c>
      <c r="J702" t="str">
        <f t="shared" si="40"/>
        <v>Low Risk</v>
      </c>
      <c r="K702" t="str">
        <f t="shared" si="41"/>
        <v>Young</v>
      </c>
      <c r="L702" t="str">
        <f t="shared" si="42"/>
        <v>Medium</v>
      </c>
      <c r="M702" t="str">
        <f t="shared" si="43"/>
        <v>Low Risk</v>
      </c>
    </row>
    <row r="703" spans="1:13" x14ac:dyDescent="0.3">
      <c r="A703">
        <v>46</v>
      </c>
      <c r="B703" t="s">
        <v>1010</v>
      </c>
      <c r="C703">
        <v>2</v>
      </c>
      <c r="D703" t="s">
        <v>1015</v>
      </c>
      <c r="E703" t="s">
        <v>1012</v>
      </c>
      <c r="F703" t="s">
        <v>1012</v>
      </c>
      <c r="G703" s="5">
        <v>6331</v>
      </c>
      <c r="H703">
        <v>48</v>
      </c>
      <c r="I703" t="s">
        <v>1019</v>
      </c>
      <c r="J703" t="str">
        <f t="shared" si="40"/>
        <v>High Risk</v>
      </c>
      <c r="K703" t="str">
        <f t="shared" si="41"/>
        <v>Senior</v>
      </c>
      <c r="L703" t="str">
        <f t="shared" si="42"/>
        <v>Long</v>
      </c>
      <c r="M703" t="str">
        <f t="shared" si="43"/>
        <v>HighRisk</v>
      </c>
    </row>
    <row r="704" spans="1:13" x14ac:dyDescent="0.3">
      <c r="A704">
        <v>47</v>
      </c>
      <c r="B704" t="s">
        <v>1009</v>
      </c>
      <c r="C704">
        <v>2</v>
      </c>
      <c r="D704" t="s">
        <v>1015</v>
      </c>
      <c r="E704" t="s">
        <v>1013</v>
      </c>
      <c r="F704" t="s">
        <v>1008</v>
      </c>
      <c r="G704" s="5">
        <v>1377</v>
      </c>
      <c r="H704">
        <v>24</v>
      </c>
      <c r="I704" t="s">
        <v>1023</v>
      </c>
      <c r="J704" t="str">
        <f t="shared" si="40"/>
        <v>Low Risk</v>
      </c>
      <c r="K704" t="str">
        <f t="shared" si="41"/>
        <v>Senior</v>
      </c>
      <c r="L704" t="str">
        <f t="shared" si="42"/>
        <v>Medium</v>
      </c>
      <c r="M704" t="str">
        <f t="shared" si="43"/>
        <v>Low Risk</v>
      </c>
    </row>
    <row r="705" spans="1:13" x14ac:dyDescent="0.3">
      <c r="A705">
        <v>41</v>
      </c>
      <c r="B705" t="s">
        <v>1010</v>
      </c>
      <c r="C705">
        <v>2</v>
      </c>
      <c r="D705" t="s">
        <v>1016</v>
      </c>
      <c r="E705" t="s">
        <v>1013</v>
      </c>
      <c r="F705" t="s">
        <v>1013</v>
      </c>
      <c r="G705" s="5">
        <v>2503</v>
      </c>
      <c r="H705">
        <v>30</v>
      </c>
      <c r="I705" t="s">
        <v>1018</v>
      </c>
      <c r="J705" t="str">
        <f t="shared" si="40"/>
        <v>Low Risk</v>
      </c>
      <c r="K705" t="str">
        <f t="shared" si="41"/>
        <v>Senior</v>
      </c>
      <c r="L705" t="str">
        <f t="shared" si="42"/>
        <v>Medium</v>
      </c>
      <c r="M705" t="str">
        <f t="shared" si="43"/>
        <v>Low Risk</v>
      </c>
    </row>
    <row r="706" spans="1:13" x14ac:dyDescent="0.3">
      <c r="A706">
        <v>32</v>
      </c>
      <c r="B706" t="s">
        <v>1009</v>
      </c>
      <c r="C706">
        <v>2</v>
      </c>
      <c r="D706" t="s">
        <v>1016</v>
      </c>
      <c r="E706" t="s">
        <v>1012</v>
      </c>
      <c r="F706" t="s">
        <v>1013</v>
      </c>
      <c r="G706" s="5">
        <v>2528</v>
      </c>
      <c r="H706">
        <v>27</v>
      </c>
      <c r="I706" t="s">
        <v>1018</v>
      </c>
      <c r="J706" t="str">
        <f t="shared" si="40"/>
        <v>Low Risk</v>
      </c>
      <c r="K706" t="str">
        <f t="shared" si="41"/>
        <v>Senior</v>
      </c>
      <c r="L706" t="str">
        <f t="shared" si="42"/>
        <v>Medium</v>
      </c>
      <c r="M706" t="str">
        <f t="shared" si="43"/>
        <v>Low Risk</v>
      </c>
    </row>
    <row r="707" spans="1:13" x14ac:dyDescent="0.3">
      <c r="A707">
        <v>35</v>
      </c>
      <c r="B707" t="s">
        <v>1009</v>
      </c>
      <c r="C707">
        <v>2</v>
      </c>
      <c r="D707" t="s">
        <v>1015</v>
      </c>
      <c r="E707" t="s">
        <v>1014</v>
      </c>
      <c r="F707" t="s">
        <v>1011</v>
      </c>
      <c r="G707" s="5">
        <v>5324</v>
      </c>
      <c r="H707">
        <v>15</v>
      </c>
      <c r="I707" t="s">
        <v>1019</v>
      </c>
      <c r="J707" t="str">
        <f t="shared" ref="J707:J770" si="44">IF(OR(G707&gt;7000,H707&gt;36),"High Risk",
IF(AND(G707&gt;4000,H707&gt;24),"Medium Risk",
"Low Risk"))</f>
        <v>Low Risk</v>
      </c>
      <c r="K707" t="str">
        <f t="shared" ref="K707:K770" si="45">IF(A707&lt;30,"Young",IF(A707&gt;50,"Adult","Senior"))</f>
        <v>Senior</v>
      </c>
      <c r="L707" t="str">
        <f t="shared" ref="L707:L770" si="46">IF(H707&lt;12,"Short",IF(H707&lt;36,"Medium","Long"))</f>
        <v>Medium</v>
      </c>
      <c r="M707" t="str">
        <f t="shared" ref="M707:M770" si="47">IF(G707&lt;3000,"Low Risk",IF(G707&lt;=6000,"Medium Risk","HighRisk"))</f>
        <v>Medium Risk</v>
      </c>
    </row>
    <row r="708" spans="1:13" x14ac:dyDescent="0.3">
      <c r="A708">
        <v>24</v>
      </c>
      <c r="B708" t="s">
        <v>1010</v>
      </c>
      <c r="C708">
        <v>2</v>
      </c>
      <c r="D708" t="s">
        <v>1016</v>
      </c>
      <c r="E708" t="s">
        <v>1013</v>
      </c>
      <c r="F708" t="s">
        <v>1013</v>
      </c>
      <c r="G708" s="5">
        <v>6560</v>
      </c>
      <c r="H708">
        <v>48</v>
      </c>
      <c r="I708" t="s">
        <v>1019</v>
      </c>
      <c r="J708" t="str">
        <f t="shared" si="44"/>
        <v>High Risk</v>
      </c>
      <c r="K708" t="str">
        <f t="shared" si="45"/>
        <v>Young</v>
      </c>
      <c r="L708" t="str">
        <f t="shared" si="46"/>
        <v>Long</v>
      </c>
      <c r="M708" t="str">
        <f t="shared" si="47"/>
        <v>HighRisk</v>
      </c>
    </row>
    <row r="709" spans="1:13" x14ac:dyDescent="0.3">
      <c r="A709">
        <v>25</v>
      </c>
      <c r="B709" t="s">
        <v>1009</v>
      </c>
      <c r="C709">
        <v>2</v>
      </c>
      <c r="D709" t="s">
        <v>1017</v>
      </c>
      <c r="E709" t="s">
        <v>1012</v>
      </c>
      <c r="F709" t="s">
        <v>1013</v>
      </c>
      <c r="G709" s="5">
        <v>2969</v>
      </c>
      <c r="H709">
        <v>12</v>
      </c>
      <c r="I709" t="s">
        <v>1022</v>
      </c>
      <c r="J709" t="str">
        <f t="shared" si="44"/>
        <v>Low Risk</v>
      </c>
      <c r="K709" t="str">
        <f t="shared" si="45"/>
        <v>Young</v>
      </c>
      <c r="L709" t="str">
        <f t="shared" si="46"/>
        <v>Medium</v>
      </c>
      <c r="M709" t="str">
        <f t="shared" si="47"/>
        <v>Low Risk</v>
      </c>
    </row>
    <row r="710" spans="1:13" x14ac:dyDescent="0.3">
      <c r="A710">
        <v>25</v>
      </c>
      <c r="B710" t="s">
        <v>1009</v>
      </c>
      <c r="C710">
        <v>2</v>
      </c>
      <c r="D710" t="s">
        <v>1016</v>
      </c>
      <c r="E710" t="s">
        <v>1012</v>
      </c>
      <c r="F710" t="s">
        <v>1013</v>
      </c>
      <c r="G710" s="5">
        <v>1206</v>
      </c>
      <c r="H710">
        <v>9</v>
      </c>
      <c r="I710" t="s">
        <v>1023</v>
      </c>
      <c r="J710" t="str">
        <f t="shared" si="44"/>
        <v>Low Risk</v>
      </c>
      <c r="K710" t="str">
        <f t="shared" si="45"/>
        <v>Young</v>
      </c>
      <c r="L710" t="str">
        <f t="shared" si="46"/>
        <v>Short</v>
      </c>
      <c r="M710" t="str">
        <f t="shared" si="47"/>
        <v>Low Risk</v>
      </c>
    </row>
    <row r="711" spans="1:13" x14ac:dyDescent="0.3">
      <c r="A711">
        <v>37</v>
      </c>
      <c r="B711" t="s">
        <v>1010</v>
      </c>
      <c r="C711">
        <v>1</v>
      </c>
      <c r="D711" t="s">
        <v>1016</v>
      </c>
      <c r="E711" t="s">
        <v>1012</v>
      </c>
      <c r="F711" t="s">
        <v>1013</v>
      </c>
      <c r="G711" s="5">
        <v>2118</v>
      </c>
      <c r="H711">
        <v>9</v>
      </c>
      <c r="I711" t="s">
        <v>1023</v>
      </c>
      <c r="J711" t="str">
        <f t="shared" si="44"/>
        <v>Low Risk</v>
      </c>
      <c r="K711" t="str">
        <f t="shared" si="45"/>
        <v>Senior</v>
      </c>
      <c r="L711" t="str">
        <f t="shared" si="46"/>
        <v>Short</v>
      </c>
      <c r="M711" t="str">
        <f t="shared" si="47"/>
        <v>Low Risk</v>
      </c>
    </row>
    <row r="712" spans="1:13" x14ac:dyDescent="0.3">
      <c r="A712">
        <v>32</v>
      </c>
      <c r="B712" t="s">
        <v>1010</v>
      </c>
      <c r="C712">
        <v>3</v>
      </c>
      <c r="D712" t="s">
        <v>1016</v>
      </c>
      <c r="E712" t="s">
        <v>1014</v>
      </c>
      <c r="F712" t="s">
        <v>1011</v>
      </c>
      <c r="G712" s="5">
        <v>629</v>
      </c>
      <c r="H712">
        <v>18</v>
      </c>
      <c r="I712" t="s">
        <v>1023</v>
      </c>
      <c r="J712" t="str">
        <f t="shared" si="44"/>
        <v>Low Risk</v>
      </c>
      <c r="K712" t="str">
        <f t="shared" si="45"/>
        <v>Senior</v>
      </c>
      <c r="L712" t="str">
        <f t="shared" si="46"/>
        <v>Medium</v>
      </c>
      <c r="M712" t="str">
        <f t="shared" si="47"/>
        <v>Low Risk</v>
      </c>
    </row>
    <row r="713" spans="1:13" x14ac:dyDescent="0.3">
      <c r="A713">
        <v>35</v>
      </c>
      <c r="B713" t="s">
        <v>1009</v>
      </c>
      <c r="C713">
        <v>2</v>
      </c>
      <c r="D713" t="s">
        <v>1015</v>
      </c>
      <c r="E713" t="s">
        <v>1012</v>
      </c>
      <c r="F713" t="s">
        <v>1012</v>
      </c>
      <c r="G713" s="5">
        <v>1198</v>
      </c>
      <c r="H713">
        <v>6</v>
      </c>
      <c r="I713" t="s">
        <v>1021</v>
      </c>
      <c r="J713" t="str">
        <f t="shared" si="44"/>
        <v>Low Risk</v>
      </c>
      <c r="K713" t="str">
        <f t="shared" si="45"/>
        <v>Senior</v>
      </c>
      <c r="L713" t="str">
        <f t="shared" si="46"/>
        <v>Short</v>
      </c>
      <c r="M713" t="str">
        <f t="shared" si="47"/>
        <v>Low Risk</v>
      </c>
    </row>
    <row r="714" spans="1:13" x14ac:dyDescent="0.3">
      <c r="A714">
        <v>46</v>
      </c>
      <c r="B714" t="s">
        <v>1010</v>
      </c>
      <c r="C714">
        <v>3</v>
      </c>
      <c r="D714" t="s">
        <v>1016</v>
      </c>
      <c r="E714" t="s">
        <v>1011</v>
      </c>
      <c r="F714" t="s">
        <v>1011</v>
      </c>
      <c r="G714" s="5">
        <v>2476</v>
      </c>
      <c r="H714">
        <v>21</v>
      </c>
      <c r="I714" t="s">
        <v>1019</v>
      </c>
      <c r="J714" t="str">
        <f t="shared" si="44"/>
        <v>Low Risk</v>
      </c>
      <c r="K714" t="str">
        <f t="shared" si="45"/>
        <v>Senior</v>
      </c>
      <c r="L714" t="str">
        <f t="shared" si="46"/>
        <v>Medium</v>
      </c>
      <c r="M714" t="str">
        <f t="shared" si="47"/>
        <v>Low Risk</v>
      </c>
    </row>
    <row r="715" spans="1:13" x14ac:dyDescent="0.3">
      <c r="A715">
        <v>25</v>
      </c>
      <c r="B715" t="s">
        <v>1010</v>
      </c>
      <c r="C715">
        <v>1</v>
      </c>
      <c r="D715" t="s">
        <v>1016</v>
      </c>
      <c r="E715" t="s">
        <v>1012</v>
      </c>
      <c r="F715" t="s">
        <v>1012</v>
      </c>
      <c r="G715" s="5">
        <v>1138</v>
      </c>
      <c r="H715">
        <v>9</v>
      </c>
      <c r="I715" t="s">
        <v>1023</v>
      </c>
      <c r="J715" t="str">
        <f t="shared" si="44"/>
        <v>Low Risk</v>
      </c>
      <c r="K715" t="str">
        <f t="shared" si="45"/>
        <v>Young</v>
      </c>
      <c r="L715" t="str">
        <f t="shared" si="46"/>
        <v>Short</v>
      </c>
      <c r="M715" t="str">
        <f t="shared" si="47"/>
        <v>Low Risk</v>
      </c>
    </row>
    <row r="716" spans="1:13" x14ac:dyDescent="0.3">
      <c r="A716">
        <v>27</v>
      </c>
      <c r="B716" t="s">
        <v>1010</v>
      </c>
      <c r="C716">
        <v>3</v>
      </c>
      <c r="D716" t="s">
        <v>1016</v>
      </c>
      <c r="E716" t="s">
        <v>1012</v>
      </c>
      <c r="F716" t="s">
        <v>1013</v>
      </c>
      <c r="G716" s="5">
        <v>14027</v>
      </c>
      <c r="H716">
        <v>60</v>
      </c>
      <c r="I716" t="s">
        <v>1019</v>
      </c>
      <c r="J716" t="str">
        <f t="shared" si="44"/>
        <v>High Risk</v>
      </c>
      <c r="K716" t="str">
        <f t="shared" si="45"/>
        <v>Young</v>
      </c>
      <c r="L716" t="str">
        <f t="shared" si="46"/>
        <v>Long</v>
      </c>
      <c r="M716" t="str">
        <f t="shared" si="47"/>
        <v>HighRisk</v>
      </c>
    </row>
    <row r="717" spans="1:13" x14ac:dyDescent="0.3">
      <c r="A717">
        <v>63</v>
      </c>
      <c r="B717" t="s">
        <v>1010</v>
      </c>
      <c r="C717">
        <v>2</v>
      </c>
      <c r="D717" t="s">
        <v>1016</v>
      </c>
      <c r="E717" t="s">
        <v>1011</v>
      </c>
      <c r="F717" t="s">
        <v>1011</v>
      </c>
      <c r="G717" s="5">
        <v>7596</v>
      </c>
      <c r="H717">
        <v>30</v>
      </c>
      <c r="I717" t="s">
        <v>1019</v>
      </c>
      <c r="J717" t="str">
        <f t="shared" si="44"/>
        <v>High Risk</v>
      </c>
      <c r="K717" t="str">
        <f t="shared" si="45"/>
        <v>Adult</v>
      </c>
      <c r="L717" t="str">
        <f t="shared" si="46"/>
        <v>Medium</v>
      </c>
      <c r="M717" t="str">
        <f t="shared" si="47"/>
        <v>HighRisk</v>
      </c>
    </row>
    <row r="718" spans="1:13" x14ac:dyDescent="0.3">
      <c r="A718">
        <v>40</v>
      </c>
      <c r="B718" t="s">
        <v>1010</v>
      </c>
      <c r="C718">
        <v>2</v>
      </c>
      <c r="D718" t="s">
        <v>1016</v>
      </c>
      <c r="E718" t="s">
        <v>1011</v>
      </c>
      <c r="F718" t="s">
        <v>1011</v>
      </c>
      <c r="G718" s="5">
        <v>3077</v>
      </c>
      <c r="H718">
        <v>30</v>
      </c>
      <c r="I718" t="s">
        <v>1023</v>
      </c>
      <c r="J718" t="str">
        <f t="shared" si="44"/>
        <v>Low Risk</v>
      </c>
      <c r="K718" t="str">
        <f t="shared" si="45"/>
        <v>Senior</v>
      </c>
      <c r="L718" t="str">
        <f t="shared" si="46"/>
        <v>Medium</v>
      </c>
      <c r="M718" t="str">
        <f t="shared" si="47"/>
        <v>Medium Risk</v>
      </c>
    </row>
    <row r="719" spans="1:13" x14ac:dyDescent="0.3">
      <c r="A719">
        <v>32</v>
      </c>
      <c r="B719" t="s">
        <v>1010</v>
      </c>
      <c r="C719">
        <v>3</v>
      </c>
      <c r="D719" t="s">
        <v>1015</v>
      </c>
      <c r="E719" t="s">
        <v>1012</v>
      </c>
      <c r="F719" t="s">
        <v>1011</v>
      </c>
      <c r="G719" s="5">
        <v>1505</v>
      </c>
      <c r="H719">
        <v>18</v>
      </c>
      <c r="I719" t="s">
        <v>1023</v>
      </c>
      <c r="J719" t="str">
        <f t="shared" si="44"/>
        <v>Low Risk</v>
      </c>
      <c r="K719" t="str">
        <f t="shared" si="45"/>
        <v>Senior</v>
      </c>
      <c r="L719" t="str">
        <f t="shared" si="46"/>
        <v>Medium</v>
      </c>
      <c r="M719" t="str">
        <f t="shared" si="47"/>
        <v>Low Risk</v>
      </c>
    </row>
    <row r="720" spans="1:13" x14ac:dyDescent="0.3">
      <c r="A720">
        <v>31</v>
      </c>
      <c r="B720" t="s">
        <v>1010</v>
      </c>
      <c r="C720">
        <v>2</v>
      </c>
      <c r="D720" t="s">
        <v>1016</v>
      </c>
      <c r="E720" t="s">
        <v>1011</v>
      </c>
      <c r="F720" t="s">
        <v>1008</v>
      </c>
      <c r="G720" s="5">
        <v>3148</v>
      </c>
      <c r="H720">
        <v>24</v>
      </c>
      <c r="I720" t="s">
        <v>1023</v>
      </c>
      <c r="J720" t="str">
        <f t="shared" si="44"/>
        <v>Low Risk</v>
      </c>
      <c r="K720" t="str">
        <f t="shared" si="45"/>
        <v>Senior</v>
      </c>
      <c r="L720" t="str">
        <f t="shared" si="46"/>
        <v>Medium</v>
      </c>
      <c r="M720" t="str">
        <f t="shared" si="47"/>
        <v>Medium Risk</v>
      </c>
    </row>
    <row r="721" spans="1:13" x14ac:dyDescent="0.3">
      <c r="A721">
        <v>31</v>
      </c>
      <c r="B721" t="s">
        <v>1010</v>
      </c>
      <c r="C721">
        <v>2</v>
      </c>
      <c r="D721" t="s">
        <v>1016</v>
      </c>
      <c r="E721" t="s">
        <v>1013</v>
      </c>
      <c r="F721" t="s">
        <v>1013</v>
      </c>
      <c r="G721" s="5">
        <v>6148</v>
      </c>
      <c r="H721">
        <v>20</v>
      </c>
      <c r="I721" t="s">
        <v>1019</v>
      </c>
      <c r="J721" t="str">
        <f t="shared" si="44"/>
        <v>Low Risk</v>
      </c>
      <c r="K721" t="str">
        <f t="shared" si="45"/>
        <v>Senior</v>
      </c>
      <c r="L721" t="str">
        <f t="shared" si="46"/>
        <v>Medium</v>
      </c>
      <c r="M721" t="str">
        <f t="shared" si="47"/>
        <v>HighRisk</v>
      </c>
    </row>
    <row r="722" spans="1:13" x14ac:dyDescent="0.3">
      <c r="A722">
        <v>34</v>
      </c>
      <c r="B722" t="s">
        <v>1010</v>
      </c>
      <c r="C722">
        <v>3</v>
      </c>
      <c r="D722" t="s">
        <v>1016</v>
      </c>
      <c r="E722" t="s">
        <v>1012</v>
      </c>
      <c r="F722" t="s">
        <v>1008</v>
      </c>
      <c r="G722" s="5">
        <v>1337</v>
      </c>
      <c r="H722">
        <v>9</v>
      </c>
      <c r="I722" t="s">
        <v>1023</v>
      </c>
      <c r="J722" t="str">
        <f t="shared" si="44"/>
        <v>Low Risk</v>
      </c>
      <c r="K722" t="str">
        <f t="shared" si="45"/>
        <v>Senior</v>
      </c>
      <c r="L722" t="str">
        <f t="shared" si="46"/>
        <v>Short</v>
      </c>
      <c r="M722" t="str">
        <f t="shared" si="47"/>
        <v>Low Risk</v>
      </c>
    </row>
    <row r="723" spans="1:13" x14ac:dyDescent="0.3">
      <c r="A723">
        <v>24</v>
      </c>
      <c r="B723" t="s">
        <v>1009</v>
      </c>
      <c r="C723">
        <v>2</v>
      </c>
      <c r="D723" t="s">
        <v>1017</v>
      </c>
      <c r="E723" t="s">
        <v>1008</v>
      </c>
      <c r="F723" t="s">
        <v>1013</v>
      </c>
      <c r="G723" s="5">
        <v>433</v>
      </c>
      <c r="H723">
        <v>6</v>
      </c>
      <c r="I723" t="s">
        <v>1021</v>
      </c>
      <c r="J723" t="str">
        <f t="shared" si="44"/>
        <v>Low Risk</v>
      </c>
      <c r="K723" t="str">
        <f t="shared" si="45"/>
        <v>Young</v>
      </c>
      <c r="L723" t="str">
        <f t="shared" si="46"/>
        <v>Short</v>
      </c>
      <c r="M723" t="str">
        <f t="shared" si="47"/>
        <v>Low Risk</v>
      </c>
    </row>
    <row r="724" spans="1:13" x14ac:dyDescent="0.3">
      <c r="A724">
        <v>24</v>
      </c>
      <c r="B724" t="s">
        <v>1009</v>
      </c>
      <c r="C724">
        <v>1</v>
      </c>
      <c r="D724" t="s">
        <v>1016</v>
      </c>
      <c r="E724" t="s">
        <v>1012</v>
      </c>
      <c r="F724" t="s">
        <v>1012</v>
      </c>
      <c r="G724" s="5">
        <v>1228</v>
      </c>
      <c r="H724">
        <v>12</v>
      </c>
      <c r="I724" t="s">
        <v>1019</v>
      </c>
      <c r="J724" t="str">
        <f t="shared" si="44"/>
        <v>Low Risk</v>
      </c>
      <c r="K724" t="str">
        <f t="shared" si="45"/>
        <v>Young</v>
      </c>
      <c r="L724" t="str">
        <f t="shared" si="46"/>
        <v>Medium</v>
      </c>
      <c r="M724" t="str">
        <f t="shared" si="47"/>
        <v>Low Risk</v>
      </c>
    </row>
    <row r="725" spans="1:13" x14ac:dyDescent="0.3">
      <c r="A725">
        <v>66</v>
      </c>
      <c r="B725" t="s">
        <v>1009</v>
      </c>
      <c r="C725">
        <v>1</v>
      </c>
      <c r="D725" t="s">
        <v>1016</v>
      </c>
      <c r="E725" t="s">
        <v>1014</v>
      </c>
      <c r="F725" t="s">
        <v>1013</v>
      </c>
      <c r="G725" s="5">
        <v>790</v>
      </c>
      <c r="H725">
        <v>9</v>
      </c>
      <c r="I725" t="s">
        <v>1023</v>
      </c>
      <c r="J725" t="str">
        <f t="shared" si="44"/>
        <v>Low Risk</v>
      </c>
      <c r="K725" t="str">
        <f t="shared" si="45"/>
        <v>Adult</v>
      </c>
      <c r="L725" t="str">
        <f t="shared" si="46"/>
        <v>Short</v>
      </c>
      <c r="M725" t="str">
        <f t="shared" si="47"/>
        <v>Low Risk</v>
      </c>
    </row>
    <row r="726" spans="1:13" x14ac:dyDescent="0.3">
      <c r="A726">
        <v>21</v>
      </c>
      <c r="B726" t="s">
        <v>1009</v>
      </c>
      <c r="C726">
        <v>2</v>
      </c>
      <c r="D726" t="s">
        <v>1017</v>
      </c>
      <c r="E726" t="s">
        <v>1012</v>
      </c>
      <c r="F726" t="s">
        <v>1011</v>
      </c>
      <c r="G726" s="5">
        <v>2570</v>
      </c>
      <c r="H726">
        <v>27</v>
      </c>
      <c r="I726" t="s">
        <v>1019</v>
      </c>
      <c r="J726" t="str">
        <f t="shared" si="44"/>
        <v>Low Risk</v>
      </c>
      <c r="K726" t="str">
        <f t="shared" si="45"/>
        <v>Young</v>
      </c>
      <c r="L726" t="str">
        <f t="shared" si="46"/>
        <v>Medium</v>
      </c>
      <c r="M726" t="str">
        <f t="shared" si="47"/>
        <v>Low Risk</v>
      </c>
    </row>
    <row r="727" spans="1:13" x14ac:dyDescent="0.3">
      <c r="A727">
        <v>41</v>
      </c>
      <c r="B727" t="s">
        <v>1009</v>
      </c>
      <c r="C727">
        <v>1</v>
      </c>
      <c r="D727" t="s">
        <v>1016</v>
      </c>
      <c r="E727" t="s">
        <v>1008</v>
      </c>
      <c r="F727" t="s">
        <v>1011</v>
      </c>
      <c r="G727" s="5">
        <v>250</v>
      </c>
      <c r="H727">
        <v>6</v>
      </c>
      <c r="I727" t="s">
        <v>1019</v>
      </c>
      <c r="J727" t="str">
        <f t="shared" si="44"/>
        <v>Low Risk</v>
      </c>
      <c r="K727" t="str">
        <f t="shared" si="45"/>
        <v>Senior</v>
      </c>
      <c r="L727" t="str">
        <f t="shared" si="46"/>
        <v>Short</v>
      </c>
      <c r="M727" t="str">
        <f t="shared" si="47"/>
        <v>Low Risk</v>
      </c>
    </row>
    <row r="728" spans="1:13" x14ac:dyDescent="0.3">
      <c r="A728">
        <v>47</v>
      </c>
      <c r="B728" t="s">
        <v>1010</v>
      </c>
      <c r="C728">
        <v>1</v>
      </c>
      <c r="D728" t="s">
        <v>1016</v>
      </c>
      <c r="E728" t="s">
        <v>1014</v>
      </c>
      <c r="F728" t="s">
        <v>1011</v>
      </c>
      <c r="G728" s="5">
        <v>1316</v>
      </c>
      <c r="H728">
        <v>15</v>
      </c>
      <c r="I728" t="s">
        <v>1023</v>
      </c>
      <c r="J728" t="str">
        <f t="shared" si="44"/>
        <v>Low Risk</v>
      </c>
      <c r="K728" t="str">
        <f t="shared" si="45"/>
        <v>Senior</v>
      </c>
      <c r="L728" t="str">
        <f t="shared" si="46"/>
        <v>Medium</v>
      </c>
      <c r="M728" t="str">
        <f t="shared" si="47"/>
        <v>Low Risk</v>
      </c>
    </row>
    <row r="729" spans="1:13" x14ac:dyDescent="0.3">
      <c r="A729">
        <v>25</v>
      </c>
      <c r="B729" t="s">
        <v>1009</v>
      </c>
      <c r="C729">
        <v>2</v>
      </c>
      <c r="D729" t="s">
        <v>1017</v>
      </c>
      <c r="E729" t="s">
        <v>1012</v>
      </c>
      <c r="F729" t="s">
        <v>1012</v>
      </c>
      <c r="G729" s="5">
        <v>1882</v>
      </c>
      <c r="H729">
        <v>18</v>
      </c>
      <c r="I729" t="s">
        <v>1023</v>
      </c>
      <c r="J729" t="str">
        <f t="shared" si="44"/>
        <v>Low Risk</v>
      </c>
      <c r="K729" t="str">
        <f t="shared" si="45"/>
        <v>Young</v>
      </c>
      <c r="L729" t="str">
        <f t="shared" si="46"/>
        <v>Medium</v>
      </c>
      <c r="M729" t="str">
        <f t="shared" si="47"/>
        <v>Low Risk</v>
      </c>
    </row>
    <row r="730" spans="1:13" x14ac:dyDescent="0.3">
      <c r="A730">
        <v>59</v>
      </c>
      <c r="B730" t="s">
        <v>1009</v>
      </c>
      <c r="C730">
        <v>2</v>
      </c>
      <c r="D730" t="s">
        <v>1017</v>
      </c>
      <c r="E730" t="s">
        <v>1012</v>
      </c>
      <c r="F730" t="s">
        <v>1013</v>
      </c>
      <c r="G730" s="5">
        <v>6416</v>
      </c>
      <c r="H730">
        <v>48</v>
      </c>
      <c r="I730" t="s">
        <v>1018</v>
      </c>
      <c r="J730" t="str">
        <f t="shared" si="44"/>
        <v>High Risk</v>
      </c>
      <c r="K730" t="str">
        <f t="shared" si="45"/>
        <v>Adult</v>
      </c>
      <c r="L730" t="str">
        <f t="shared" si="46"/>
        <v>Long</v>
      </c>
      <c r="M730" t="str">
        <f t="shared" si="47"/>
        <v>HighRisk</v>
      </c>
    </row>
    <row r="731" spans="1:13" x14ac:dyDescent="0.3">
      <c r="A731">
        <v>36</v>
      </c>
      <c r="B731" t="s">
        <v>1010</v>
      </c>
      <c r="C731">
        <v>2</v>
      </c>
      <c r="D731" t="s">
        <v>1016</v>
      </c>
      <c r="E731" t="s">
        <v>1008</v>
      </c>
      <c r="F731" t="s">
        <v>1008</v>
      </c>
      <c r="G731" s="5">
        <v>1275</v>
      </c>
      <c r="H731">
        <v>24</v>
      </c>
      <c r="I731" t="s">
        <v>1018</v>
      </c>
      <c r="J731" t="str">
        <f t="shared" si="44"/>
        <v>Low Risk</v>
      </c>
      <c r="K731" t="str">
        <f t="shared" si="45"/>
        <v>Senior</v>
      </c>
      <c r="L731" t="str">
        <f t="shared" si="46"/>
        <v>Medium</v>
      </c>
      <c r="M731" t="str">
        <f t="shared" si="47"/>
        <v>Low Risk</v>
      </c>
    </row>
    <row r="732" spans="1:13" x14ac:dyDescent="0.3">
      <c r="A732">
        <v>33</v>
      </c>
      <c r="B732" t="s">
        <v>1010</v>
      </c>
      <c r="C732">
        <v>2</v>
      </c>
      <c r="D732" t="s">
        <v>1016</v>
      </c>
      <c r="E732" t="s">
        <v>1012</v>
      </c>
      <c r="F732" t="s">
        <v>1013</v>
      </c>
      <c r="G732" s="5">
        <v>6403</v>
      </c>
      <c r="H732">
        <v>24</v>
      </c>
      <c r="I732" t="s">
        <v>1023</v>
      </c>
      <c r="J732" t="str">
        <f t="shared" si="44"/>
        <v>Low Risk</v>
      </c>
      <c r="K732" t="str">
        <f t="shared" si="45"/>
        <v>Senior</v>
      </c>
      <c r="L732" t="str">
        <f t="shared" si="46"/>
        <v>Medium</v>
      </c>
      <c r="M732" t="str">
        <f t="shared" si="47"/>
        <v>HighRisk</v>
      </c>
    </row>
    <row r="733" spans="1:13" x14ac:dyDescent="0.3">
      <c r="A733">
        <v>21</v>
      </c>
      <c r="B733" t="s">
        <v>1010</v>
      </c>
      <c r="C733">
        <v>1</v>
      </c>
      <c r="D733" t="s">
        <v>1017</v>
      </c>
      <c r="E733" t="s">
        <v>1012</v>
      </c>
      <c r="F733" t="s">
        <v>1012</v>
      </c>
      <c r="G733" s="5">
        <v>1987</v>
      </c>
      <c r="H733">
        <v>24</v>
      </c>
      <c r="I733" t="s">
        <v>1023</v>
      </c>
      <c r="J733" t="str">
        <f t="shared" si="44"/>
        <v>Low Risk</v>
      </c>
      <c r="K733" t="str">
        <f t="shared" si="45"/>
        <v>Young</v>
      </c>
      <c r="L733" t="str">
        <f t="shared" si="46"/>
        <v>Medium</v>
      </c>
      <c r="M733" t="str">
        <f t="shared" si="47"/>
        <v>Low Risk</v>
      </c>
    </row>
    <row r="734" spans="1:13" x14ac:dyDescent="0.3">
      <c r="A734">
        <v>44</v>
      </c>
      <c r="B734" t="s">
        <v>1009</v>
      </c>
      <c r="C734">
        <v>1</v>
      </c>
      <c r="D734" t="s">
        <v>1016</v>
      </c>
      <c r="E734" t="s">
        <v>1012</v>
      </c>
      <c r="F734" t="s">
        <v>1013</v>
      </c>
      <c r="G734" s="5">
        <v>760</v>
      </c>
      <c r="H734">
        <v>8</v>
      </c>
      <c r="I734" t="s">
        <v>1023</v>
      </c>
      <c r="J734" t="str">
        <f t="shared" si="44"/>
        <v>Low Risk</v>
      </c>
      <c r="K734" t="str">
        <f t="shared" si="45"/>
        <v>Senior</v>
      </c>
      <c r="L734" t="str">
        <f t="shared" si="46"/>
        <v>Short</v>
      </c>
      <c r="M734" t="str">
        <f t="shared" si="47"/>
        <v>Low Risk</v>
      </c>
    </row>
    <row r="735" spans="1:13" x14ac:dyDescent="0.3">
      <c r="A735">
        <v>28</v>
      </c>
      <c r="B735" t="s">
        <v>1009</v>
      </c>
      <c r="C735">
        <v>2</v>
      </c>
      <c r="D735" t="s">
        <v>1017</v>
      </c>
      <c r="E735" t="s">
        <v>1008</v>
      </c>
      <c r="F735" t="s">
        <v>1011</v>
      </c>
      <c r="G735" s="5">
        <v>2603</v>
      </c>
      <c r="H735">
        <v>24</v>
      </c>
      <c r="I735" t="s">
        <v>1019</v>
      </c>
      <c r="J735" t="str">
        <f t="shared" si="44"/>
        <v>Low Risk</v>
      </c>
      <c r="K735" t="str">
        <f t="shared" si="45"/>
        <v>Young</v>
      </c>
      <c r="L735" t="str">
        <f t="shared" si="46"/>
        <v>Medium</v>
      </c>
      <c r="M735" t="str">
        <f t="shared" si="47"/>
        <v>Low Risk</v>
      </c>
    </row>
    <row r="736" spans="1:13" x14ac:dyDescent="0.3">
      <c r="A736">
        <v>37</v>
      </c>
      <c r="B736" t="s">
        <v>1009</v>
      </c>
      <c r="C736">
        <v>2</v>
      </c>
      <c r="D736" t="s">
        <v>1016</v>
      </c>
      <c r="E736" t="s">
        <v>1012</v>
      </c>
      <c r="F736" t="s">
        <v>1011</v>
      </c>
      <c r="G736" s="5">
        <v>3380</v>
      </c>
      <c r="H736">
        <v>4</v>
      </c>
      <c r="I736" t="s">
        <v>1019</v>
      </c>
      <c r="J736" t="str">
        <f t="shared" si="44"/>
        <v>Low Risk</v>
      </c>
      <c r="K736" t="str">
        <f t="shared" si="45"/>
        <v>Senior</v>
      </c>
      <c r="L736" t="str">
        <f t="shared" si="46"/>
        <v>Short</v>
      </c>
      <c r="M736" t="str">
        <f t="shared" si="47"/>
        <v>Medium Risk</v>
      </c>
    </row>
    <row r="737" spans="1:13" x14ac:dyDescent="0.3">
      <c r="A737">
        <v>29</v>
      </c>
      <c r="B737" t="s">
        <v>1009</v>
      </c>
      <c r="C737">
        <v>0</v>
      </c>
      <c r="D737" t="s">
        <v>1016</v>
      </c>
      <c r="E737" t="s">
        <v>1011</v>
      </c>
      <c r="F737" t="s">
        <v>1013</v>
      </c>
      <c r="G737" s="5">
        <v>3990</v>
      </c>
      <c r="H737">
        <v>36</v>
      </c>
      <c r="I737" t="s">
        <v>1020</v>
      </c>
      <c r="J737" t="str">
        <f t="shared" si="44"/>
        <v>Low Risk</v>
      </c>
      <c r="K737" t="str">
        <f t="shared" si="45"/>
        <v>Young</v>
      </c>
      <c r="L737" t="str">
        <f t="shared" si="46"/>
        <v>Long</v>
      </c>
      <c r="M737" t="str">
        <f t="shared" si="47"/>
        <v>Medium Risk</v>
      </c>
    </row>
    <row r="738" spans="1:13" x14ac:dyDescent="0.3">
      <c r="A738">
        <v>23</v>
      </c>
      <c r="B738" t="s">
        <v>1009</v>
      </c>
      <c r="C738">
        <v>3</v>
      </c>
      <c r="D738" t="s">
        <v>1017</v>
      </c>
      <c r="E738" t="s">
        <v>1012</v>
      </c>
      <c r="F738" t="s">
        <v>1013</v>
      </c>
      <c r="G738" s="5">
        <v>11560</v>
      </c>
      <c r="H738">
        <v>24</v>
      </c>
      <c r="I738" t="s">
        <v>1019</v>
      </c>
      <c r="J738" t="str">
        <f t="shared" si="44"/>
        <v>High Risk</v>
      </c>
      <c r="K738" t="str">
        <f t="shared" si="45"/>
        <v>Young</v>
      </c>
      <c r="L738" t="str">
        <f t="shared" si="46"/>
        <v>Medium</v>
      </c>
      <c r="M738" t="str">
        <f t="shared" si="47"/>
        <v>HighRisk</v>
      </c>
    </row>
    <row r="739" spans="1:13" x14ac:dyDescent="0.3">
      <c r="A739">
        <v>35</v>
      </c>
      <c r="B739" t="s">
        <v>1010</v>
      </c>
      <c r="C739">
        <v>1</v>
      </c>
      <c r="D739" t="s">
        <v>1016</v>
      </c>
      <c r="E739" t="s">
        <v>1013</v>
      </c>
      <c r="F739" t="s">
        <v>1012</v>
      </c>
      <c r="G739" s="5">
        <v>4380</v>
      </c>
      <c r="H739">
        <v>18</v>
      </c>
      <c r="I739" t="s">
        <v>1019</v>
      </c>
      <c r="J739" t="str">
        <f t="shared" si="44"/>
        <v>Low Risk</v>
      </c>
      <c r="K739" t="str">
        <f t="shared" si="45"/>
        <v>Senior</v>
      </c>
      <c r="L739" t="str">
        <f t="shared" si="46"/>
        <v>Medium</v>
      </c>
      <c r="M739" t="str">
        <f t="shared" si="47"/>
        <v>Medium Risk</v>
      </c>
    </row>
    <row r="740" spans="1:13" x14ac:dyDescent="0.3">
      <c r="A740">
        <v>45</v>
      </c>
      <c r="B740" t="s">
        <v>1010</v>
      </c>
      <c r="C740">
        <v>3</v>
      </c>
      <c r="D740" t="s">
        <v>1016</v>
      </c>
      <c r="E740" t="s">
        <v>1012</v>
      </c>
      <c r="F740" t="s">
        <v>1011</v>
      </c>
      <c r="G740" s="5">
        <v>6761</v>
      </c>
      <c r="H740">
        <v>6</v>
      </c>
      <c r="I740" t="s">
        <v>1019</v>
      </c>
      <c r="J740" t="str">
        <f t="shared" si="44"/>
        <v>Low Risk</v>
      </c>
      <c r="K740" t="str">
        <f t="shared" si="45"/>
        <v>Senior</v>
      </c>
      <c r="L740" t="str">
        <f t="shared" si="46"/>
        <v>Short</v>
      </c>
      <c r="M740" t="str">
        <f t="shared" si="47"/>
        <v>HighRisk</v>
      </c>
    </row>
    <row r="741" spans="1:13" x14ac:dyDescent="0.3">
      <c r="A741">
        <v>26</v>
      </c>
      <c r="B741" t="s">
        <v>1009</v>
      </c>
      <c r="C741">
        <v>1</v>
      </c>
      <c r="D741" t="s">
        <v>1017</v>
      </c>
      <c r="E741" t="s">
        <v>1013</v>
      </c>
      <c r="F741" t="s">
        <v>1013</v>
      </c>
      <c r="G741" s="5">
        <v>4280</v>
      </c>
      <c r="H741">
        <v>30</v>
      </c>
      <c r="I741" t="s">
        <v>1018</v>
      </c>
      <c r="J741" t="str">
        <f t="shared" si="44"/>
        <v>Medium Risk</v>
      </c>
      <c r="K741" t="str">
        <f t="shared" si="45"/>
        <v>Young</v>
      </c>
      <c r="L741" t="str">
        <f t="shared" si="46"/>
        <v>Medium</v>
      </c>
      <c r="M741" t="str">
        <f t="shared" si="47"/>
        <v>Medium Risk</v>
      </c>
    </row>
    <row r="742" spans="1:13" x14ac:dyDescent="0.3">
      <c r="A742">
        <v>32</v>
      </c>
      <c r="B742" t="s">
        <v>1010</v>
      </c>
      <c r="C742">
        <v>2</v>
      </c>
      <c r="D742" t="s">
        <v>1016</v>
      </c>
      <c r="E742" t="s">
        <v>1013</v>
      </c>
      <c r="F742" t="s">
        <v>1012</v>
      </c>
      <c r="G742" s="5">
        <v>2325</v>
      </c>
      <c r="H742">
        <v>24</v>
      </c>
      <c r="I742" t="s">
        <v>1019</v>
      </c>
      <c r="J742" t="str">
        <f t="shared" si="44"/>
        <v>Low Risk</v>
      </c>
      <c r="K742" t="str">
        <f t="shared" si="45"/>
        <v>Senior</v>
      </c>
      <c r="L742" t="str">
        <f t="shared" si="46"/>
        <v>Medium</v>
      </c>
      <c r="M742" t="str">
        <f t="shared" si="47"/>
        <v>Low Risk</v>
      </c>
    </row>
    <row r="743" spans="1:13" x14ac:dyDescent="0.3">
      <c r="A743">
        <v>23</v>
      </c>
      <c r="B743" t="s">
        <v>1010</v>
      </c>
      <c r="C743">
        <v>1</v>
      </c>
      <c r="D743" t="s">
        <v>1016</v>
      </c>
      <c r="E743" t="s">
        <v>1012</v>
      </c>
      <c r="F743" t="s">
        <v>1013</v>
      </c>
      <c r="G743" s="5">
        <v>1048</v>
      </c>
      <c r="H743">
        <v>10</v>
      </c>
      <c r="I743" t="s">
        <v>1023</v>
      </c>
      <c r="J743" t="str">
        <f t="shared" si="44"/>
        <v>Low Risk</v>
      </c>
      <c r="K743" t="str">
        <f t="shared" si="45"/>
        <v>Young</v>
      </c>
      <c r="L743" t="str">
        <f t="shared" si="46"/>
        <v>Short</v>
      </c>
      <c r="M743" t="str">
        <f t="shared" si="47"/>
        <v>Low Risk</v>
      </c>
    </row>
    <row r="744" spans="1:13" x14ac:dyDescent="0.3">
      <c r="A744">
        <v>41</v>
      </c>
      <c r="B744" t="s">
        <v>1010</v>
      </c>
      <c r="C744">
        <v>2</v>
      </c>
      <c r="D744" t="s">
        <v>1016</v>
      </c>
      <c r="E744" t="s">
        <v>1011</v>
      </c>
      <c r="F744" t="s">
        <v>1011</v>
      </c>
      <c r="G744" s="5">
        <v>3160</v>
      </c>
      <c r="H744">
        <v>21</v>
      </c>
      <c r="I744" t="s">
        <v>1023</v>
      </c>
      <c r="J744" t="str">
        <f t="shared" si="44"/>
        <v>Low Risk</v>
      </c>
      <c r="K744" t="str">
        <f t="shared" si="45"/>
        <v>Senior</v>
      </c>
      <c r="L744" t="str">
        <f t="shared" si="46"/>
        <v>Medium</v>
      </c>
      <c r="M744" t="str">
        <f t="shared" si="47"/>
        <v>Medium Risk</v>
      </c>
    </row>
    <row r="745" spans="1:13" x14ac:dyDescent="0.3">
      <c r="A745">
        <v>22</v>
      </c>
      <c r="B745" t="s">
        <v>1010</v>
      </c>
      <c r="C745">
        <v>2</v>
      </c>
      <c r="D745" t="s">
        <v>1016</v>
      </c>
      <c r="E745" t="s">
        <v>1014</v>
      </c>
      <c r="F745" t="s">
        <v>1012</v>
      </c>
      <c r="G745" s="5">
        <v>2483</v>
      </c>
      <c r="H745">
        <v>24</v>
      </c>
      <c r="I745" t="s">
        <v>1022</v>
      </c>
      <c r="J745" t="str">
        <f t="shared" si="44"/>
        <v>Low Risk</v>
      </c>
      <c r="K745" t="str">
        <f t="shared" si="45"/>
        <v>Young</v>
      </c>
      <c r="L745" t="str">
        <f t="shared" si="46"/>
        <v>Medium</v>
      </c>
      <c r="M745" t="str">
        <f t="shared" si="47"/>
        <v>Low Risk</v>
      </c>
    </row>
    <row r="746" spans="1:13" x14ac:dyDescent="0.3">
      <c r="A746">
        <v>30</v>
      </c>
      <c r="B746" t="s">
        <v>1010</v>
      </c>
      <c r="C746">
        <v>3</v>
      </c>
      <c r="D746" t="s">
        <v>1016</v>
      </c>
      <c r="E746" t="s">
        <v>1011</v>
      </c>
      <c r="F746" t="s">
        <v>1012</v>
      </c>
      <c r="G746" s="5">
        <v>14179</v>
      </c>
      <c r="H746">
        <v>39</v>
      </c>
      <c r="I746" t="s">
        <v>1022</v>
      </c>
      <c r="J746" t="str">
        <f t="shared" si="44"/>
        <v>High Risk</v>
      </c>
      <c r="K746" t="str">
        <f t="shared" si="45"/>
        <v>Senior</v>
      </c>
      <c r="L746" t="str">
        <f t="shared" si="46"/>
        <v>Long</v>
      </c>
      <c r="M746" t="str">
        <f t="shared" si="47"/>
        <v>HighRisk</v>
      </c>
    </row>
    <row r="747" spans="1:13" x14ac:dyDescent="0.3">
      <c r="A747">
        <v>28</v>
      </c>
      <c r="B747" t="s">
        <v>1010</v>
      </c>
      <c r="C747">
        <v>1</v>
      </c>
      <c r="D747" t="s">
        <v>1016</v>
      </c>
      <c r="E747" t="s">
        <v>1012</v>
      </c>
      <c r="F747" t="s">
        <v>1012</v>
      </c>
      <c r="G747" s="5">
        <v>1797</v>
      </c>
      <c r="H747">
        <v>13</v>
      </c>
      <c r="I747" t="s">
        <v>1018</v>
      </c>
      <c r="J747" t="str">
        <f t="shared" si="44"/>
        <v>Low Risk</v>
      </c>
      <c r="K747" t="str">
        <f t="shared" si="45"/>
        <v>Young</v>
      </c>
      <c r="L747" t="str">
        <f t="shared" si="46"/>
        <v>Medium</v>
      </c>
      <c r="M747" t="str">
        <f t="shared" si="47"/>
        <v>Low Risk</v>
      </c>
    </row>
    <row r="748" spans="1:13" x14ac:dyDescent="0.3">
      <c r="A748">
        <v>23</v>
      </c>
      <c r="B748" t="s">
        <v>1009</v>
      </c>
      <c r="C748">
        <v>2</v>
      </c>
      <c r="D748" t="s">
        <v>1017</v>
      </c>
      <c r="E748" t="s">
        <v>1012</v>
      </c>
      <c r="F748" t="s">
        <v>1012</v>
      </c>
      <c r="G748" s="5">
        <v>2511</v>
      </c>
      <c r="H748">
        <v>15</v>
      </c>
      <c r="I748" t="s">
        <v>1019</v>
      </c>
      <c r="J748" t="str">
        <f t="shared" si="44"/>
        <v>Low Risk</v>
      </c>
      <c r="K748" t="str">
        <f t="shared" si="45"/>
        <v>Young</v>
      </c>
      <c r="L748" t="str">
        <f t="shared" si="46"/>
        <v>Medium</v>
      </c>
      <c r="M748" t="str">
        <f t="shared" si="47"/>
        <v>Low Risk</v>
      </c>
    </row>
    <row r="749" spans="1:13" x14ac:dyDescent="0.3">
      <c r="A749">
        <v>37</v>
      </c>
      <c r="B749" t="s">
        <v>1009</v>
      </c>
      <c r="C749">
        <v>1</v>
      </c>
      <c r="D749" t="s">
        <v>1016</v>
      </c>
      <c r="E749" t="s">
        <v>1012</v>
      </c>
      <c r="F749" t="s">
        <v>1012</v>
      </c>
      <c r="G749" s="5">
        <v>1274</v>
      </c>
      <c r="H749">
        <v>12</v>
      </c>
      <c r="I749" t="s">
        <v>1019</v>
      </c>
      <c r="J749" t="str">
        <f t="shared" si="44"/>
        <v>Low Risk</v>
      </c>
      <c r="K749" t="str">
        <f t="shared" si="45"/>
        <v>Senior</v>
      </c>
      <c r="L749" t="str">
        <f t="shared" si="46"/>
        <v>Medium</v>
      </c>
      <c r="M749" t="str">
        <f t="shared" si="47"/>
        <v>Low Risk</v>
      </c>
    </row>
    <row r="750" spans="1:13" x14ac:dyDescent="0.3">
      <c r="A750">
        <v>26</v>
      </c>
      <c r="B750" t="s">
        <v>1010</v>
      </c>
      <c r="C750">
        <v>2</v>
      </c>
      <c r="D750" t="s">
        <v>1016</v>
      </c>
      <c r="E750" t="s">
        <v>1011</v>
      </c>
      <c r="F750" t="s">
        <v>1011</v>
      </c>
      <c r="G750" s="5">
        <v>5248</v>
      </c>
      <c r="H750">
        <v>21</v>
      </c>
      <c r="I750" t="s">
        <v>1019</v>
      </c>
      <c r="J750" t="str">
        <f t="shared" si="44"/>
        <v>Low Risk</v>
      </c>
      <c r="K750" t="str">
        <f t="shared" si="45"/>
        <v>Young</v>
      </c>
      <c r="L750" t="str">
        <f t="shared" si="46"/>
        <v>Medium</v>
      </c>
      <c r="M750" t="str">
        <f t="shared" si="47"/>
        <v>Medium Risk</v>
      </c>
    </row>
    <row r="751" spans="1:13" x14ac:dyDescent="0.3">
      <c r="A751">
        <v>33</v>
      </c>
      <c r="B751" t="s">
        <v>1010</v>
      </c>
      <c r="C751">
        <v>2</v>
      </c>
      <c r="D751" t="s">
        <v>1016</v>
      </c>
      <c r="E751" t="s">
        <v>1012</v>
      </c>
      <c r="F751" t="s">
        <v>1011</v>
      </c>
      <c r="G751" s="5">
        <v>3029</v>
      </c>
      <c r="H751">
        <v>15</v>
      </c>
      <c r="I751" t="s">
        <v>1019</v>
      </c>
      <c r="J751" t="str">
        <f t="shared" si="44"/>
        <v>Low Risk</v>
      </c>
      <c r="K751" t="str">
        <f t="shared" si="45"/>
        <v>Senior</v>
      </c>
      <c r="L751" t="str">
        <f t="shared" si="46"/>
        <v>Medium</v>
      </c>
      <c r="M751" t="str">
        <f t="shared" si="47"/>
        <v>Medium Risk</v>
      </c>
    </row>
    <row r="752" spans="1:13" x14ac:dyDescent="0.3">
      <c r="A752">
        <v>49</v>
      </c>
      <c r="B752" t="s">
        <v>1009</v>
      </c>
      <c r="C752">
        <v>2</v>
      </c>
      <c r="D752" t="s">
        <v>1016</v>
      </c>
      <c r="E752" t="s">
        <v>1012</v>
      </c>
      <c r="F752" t="s">
        <v>1012</v>
      </c>
      <c r="G752" s="5">
        <v>428</v>
      </c>
      <c r="H752">
        <v>6</v>
      </c>
      <c r="I752" t="s">
        <v>1022</v>
      </c>
      <c r="J752" t="str">
        <f t="shared" si="44"/>
        <v>Low Risk</v>
      </c>
      <c r="K752" t="str">
        <f t="shared" si="45"/>
        <v>Senior</v>
      </c>
      <c r="L752" t="str">
        <f t="shared" si="46"/>
        <v>Short</v>
      </c>
      <c r="M752" t="str">
        <f t="shared" si="47"/>
        <v>Low Risk</v>
      </c>
    </row>
    <row r="753" spans="1:13" x14ac:dyDescent="0.3">
      <c r="A753">
        <v>23</v>
      </c>
      <c r="B753" t="s">
        <v>1009</v>
      </c>
      <c r="C753">
        <v>1</v>
      </c>
      <c r="D753" t="s">
        <v>1016</v>
      </c>
      <c r="E753" t="s">
        <v>1012</v>
      </c>
      <c r="F753" t="s">
        <v>1012</v>
      </c>
      <c r="G753" s="5">
        <v>976</v>
      </c>
      <c r="H753">
        <v>18</v>
      </c>
      <c r="I753" t="s">
        <v>1019</v>
      </c>
      <c r="J753" t="str">
        <f t="shared" si="44"/>
        <v>Low Risk</v>
      </c>
      <c r="K753" t="str">
        <f t="shared" si="45"/>
        <v>Young</v>
      </c>
      <c r="L753" t="str">
        <f t="shared" si="46"/>
        <v>Medium</v>
      </c>
      <c r="M753" t="str">
        <f t="shared" si="47"/>
        <v>Low Risk</v>
      </c>
    </row>
    <row r="754" spans="1:13" x14ac:dyDescent="0.3">
      <c r="A754">
        <v>23</v>
      </c>
      <c r="B754" t="s">
        <v>1009</v>
      </c>
      <c r="C754">
        <v>1</v>
      </c>
      <c r="D754" t="s">
        <v>1017</v>
      </c>
      <c r="E754" t="s">
        <v>1013</v>
      </c>
      <c r="F754" t="s">
        <v>1013</v>
      </c>
      <c r="G754" s="5">
        <v>841</v>
      </c>
      <c r="H754">
        <v>12</v>
      </c>
      <c r="I754" t="s">
        <v>1018</v>
      </c>
      <c r="J754" t="str">
        <f t="shared" si="44"/>
        <v>Low Risk</v>
      </c>
      <c r="K754" t="str">
        <f t="shared" si="45"/>
        <v>Young</v>
      </c>
      <c r="L754" t="str">
        <f t="shared" si="46"/>
        <v>Medium</v>
      </c>
      <c r="M754" t="str">
        <f t="shared" si="47"/>
        <v>Low Risk</v>
      </c>
    </row>
    <row r="755" spans="1:13" x14ac:dyDescent="0.3">
      <c r="A755">
        <v>25</v>
      </c>
      <c r="B755" t="s">
        <v>1009</v>
      </c>
      <c r="C755">
        <v>2</v>
      </c>
      <c r="D755" t="s">
        <v>1016</v>
      </c>
      <c r="E755" t="s">
        <v>1012</v>
      </c>
      <c r="F755" t="s">
        <v>1011</v>
      </c>
      <c r="G755" s="5">
        <v>5771</v>
      </c>
      <c r="H755">
        <v>30</v>
      </c>
      <c r="I755" t="s">
        <v>1023</v>
      </c>
      <c r="J755" t="str">
        <f t="shared" si="44"/>
        <v>Medium Risk</v>
      </c>
      <c r="K755" t="str">
        <f t="shared" si="45"/>
        <v>Young</v>
      </c>
      <c r="L755" t="str">
        <f t="shared" si="46"/>
        <v>Medium</v>
      </c>
      <c r="M755" t="str">
        <f t="shared" si="47"/>
        <v>Medium Risk</v>
      </c>
    </row>
    <row r="756" spans="1:13" x14ac:dyDescent="0.3">
      <c r="A756">
        <v>55</v>
      </c>
      <c r="B756" t="s">
        <v>1010</v>
      </c>
      <c r="C756">
        <v>2</v>
      </c>
      <c r="D756" t="s">
        <v>1015</v>
      </c>
      <c r="E756" t="s">
        <v>1008</v>
      </c>
      <c r="F756" t="s">
        <v>1011</v>
      </c>
      <c r="G756" s="5">
        <v>1555</v>
      </c>
      <c r="H756">
        <v>12</v>
      </c>
      <c r="I756" t="s">
        <v>1024</v>
      </c>
      <c r="J756" t="str">
        <f t="shared" si="44"/>
        <v>Low Risk</v>
      </c>
      <c r="K756" t="str">
        <f t="shared" si="45"/>
        <v>Adult</v>
      </c>
      <c r="L756" t="str">
        <f t="shared" si="46"/>
        <v>Medium</v>
      </c>
      <c r="M756" t="str">
        <f t="shared" si="47"/>
        <v>Low Risk</v>
      </c>
    </row>
    <row r="757" spans="1:13" x14ac:dyDescent="0.3">
      <c r="A757">
        <v>32</v>
      </c>
      <c r="B757" t="s">
        <v>1009</v>
      </c>
      <c r="C757">
        <v>2</v>
      </c>
      <c r="D757" t="s">
        <v>1017</v>
      </c>
      <c r="E757" t="s">
        <v>1011</v>
      </c>
      <c r="F757" t="s">
        <v>1012</v>
      </c>
      <c r="G757" s="5">
        <v>1285</v>
      </c>
      <c r="H757">
        <v>24</v>
      </c>
      <c r="I757" t="s">
        <v>1019</v>
      </c>
      <c r="J757" t="str">
        <f t="shared" si="44"/>
        <v>Low Risk</v>
      </c>
      <c r="K757" t="str">
        <f t="shared" si="45"/>
        <v>Senior</v>
      </c>
      <c r="L757" t="str">
        <f t="shared" si="46"/>
        <v>Medium</v>
      </c>
      <c r="M757" t="str">
        <f t="shared" si="47"/>
        <v>Low Risk</v>
      </c>
    </row>
    <row r="758" spans="1:13" x14ac:dyDescent="0.3">
      <c r="A758">
        <v>74</v>
      </c>
      <c r="B758" t="s">
        <v>1010</v>
      </c>
      <c r="C758">
        <v>0</v>
      </c>
      <c r="D758" t="s">
        <v>1016</v>
      </c>
      <c r="E758" t="s">
        <v>1012</v>
      </c>
      <c r="F758" t="s">
        <v>1008</v>
      </c>
      <c r="G758" s="5">
        <v>1299</v>
      </c>
      <c r="H758">
        <v>6</v>
      </c>
      <c r="I758" t="s">
        <v>1019</v>
      </c>
      <c r="J758" t="str">
        <f t="shared" si="44"/>
        <v>Low Risk</v>
      </c>
      <c r="K758" t="str">
        <f t="shared" si="45"/>
        <v>Adult</v>
      </c>
      <c r="L758" t="str">
        <f t="shared" si="46"/>
        <v>Short</v>
      </c>
      <c r="M758" t="str">
        <f t="shared" si="47"/>
        <v>Low Risk</v>
      </c>
    </row>
    <row r="759" spans="1:13" x14ac:dyDescent="0.3">
      <c r="A759">
        <v>39</v>
      </c>
      <c r="B759" t="s">
        <v>1010</v>
      </c>
      <c r="C759">
        <v>2</v>
      </c>
      <c r="D759" t="s">
        <v>1015</v>
      </c>
      <c r="E759" t="s">
        <v>1011</v>
      </c>
      <c r="F759" t="s">
        <v>1008</v>
      </c>
      <c r="G759" s="5">
        <v>1271</v>
      </c>
      <c r="H759">
        <v>15</v>
      </c>
      <c r="I759" t="s">
        <v>1023</v>
      </c>
      <c r="J759" t="str">
        <f t="shared" si="44"/>
        <v>Low Risk</v>
      </c>
      <c r="K759" t="str">
        <f t="shared" si="45"/>
        <v>Senior</v>
      </c>
      <c r="L759" t="str">
        <f t="shared" si="46"/>
        <v>Medium</v>
      </c>
      <c r="M759" t="str">
        <f t="shared" si="47"/>
        <v>Low Risk</v>
      </c>
    </row>
    <row r="760" spans="1:13" x14ac:dyDescent="0.3">
      <c r="A760">
        <v>31</v>
      </c>
      <c r="B760" t="s">
        <v>1010</v>
      </c>
      <c r="C760">
        <v>2</v>
      </c>
      <c r="D760" t="s">
        <v>1016</v>
      </c>
      <c r="E760" t="s">
        <v>1012</v>
      </c>
      <c r="F760" t="s">
        <v>1011</v>
      </c>
      <c r="G760" s="5">
        <v>1393</v>
      </c>
      <c r="H760">
        <v>24</v>
      </c>
      <c r="I760" t="s">
        <v>1019</v>
      </c>
      <c r="J760" t="str">
        <f t="shared" si="44"/>
        <v>Low Risk</v>
      </c>
      <c r="K760" t="str">
        <f t="shared" si="45"/>
        <v>Senior</v>
      </c>
      <c r="L760" t="str">
        <f t="shared" si="46"/>
        <v>Medium</v>
      </c>
      <c r="M760" t="str">
        <f t="shared" si="47"/>
        <v>Low Risk</v>
      </c>
    </row>
    <row r="761" spans="1:13" x14ac:dyDescent="0.3">
      <c r="A761">
        <v>35</v>
      </c>
      <c r="B761" t="s">
        <v>1010</v>
      </c>
      <c r="C761">
        <v>2</v>
      </c>
      <c r="D761" t="s">
        <v>1016</v>
      </c>
      <c r="E761" t="s">
        <v>1012</v>
      </c>
      <c r="F761" t="s">
        <v>1012</v>
      </c>
      <c r="G761" s="5">
        <v>691</v>
      </c>
      <c r="H761">
        <v>12</v>
      </c>
      <c r="I761" t="s">
        <v>1019</v>
      </c>
      <c r="J761" t="str">
        <f t="shared" si="44"/>
        <v>Low Risk</v>
      </c>
      <c r="K761" t="str">
        <f t="shared" si="45"/>
        <v>Senior</v>
      </c>
      <c r="L761" t="str">
        <f t="shared" si="46"/>
        <v>Medium</v>
      </c>
      <c r="M761" t="str">
        <f t="shared" si="47"/>
        <v>Low Risk</v>
      </c>
    </row>
    <row r="762" spans="1:13" x14ac:dyDescent="0.3">
      <c r="A762">
        <v>59</v>
      </c>
      <c r="B762" t="s">
        <v>1009</v>
      </c>
      <c r="C762">
        <v>2</v>
      </c>
      <c r="D762" t="s">
        <v>1016</v>
      </c>
      <c r="E762" t="s">
        <v>1011</v>
      </c>
      <c r="F762" t="s">
        <v>1011</v>
      </c>
      <c r="G762" s="5">
        <v>5045</v>
      </c>
      <c r="H762">
        <v>15</v>
      </c>
      <c r="I762" t="s">
        <v>1019</v>
      </c>
      <c r="J762" t="str">
        <f t="shared" si="44"/>
        <v>Low Risk</v>
      </c>
      <c r="K762" t="str">
        <f t="shared" si="45"/>
        <v>Adult</v>
      </c>
      <c r="L762" t="str">
        <f t="shared" si="46"/>
        <v>Medium</v>
      </c>
      <c r="M762" t="str">
        <f t="shared" si="47"/>
        <v>Medium Risk</v>
      </c>
    </row>
    <row r="763" spans="1:13" x14ac:dyDescent="0.3">
      <c r="A763">
        <v>24</v>
      </c>
      <c r="B763" t="s">
        <v>1009</v>
      </c>
      <c r="C763">
        <v>2</v>
      </c>
      <c r="D763" t="s">
        <v>1017</v>
      </c>
      <c r="E763" t="s">
        <v>1012</v>
      </c>
      <c r="F763" t="s">
        <v>1012</v>
      </c>
      <c r="G763" s="5">
        <v>2124</v>
      </c>
      <c r="H763">
        <v>18</v>
      </c>
      <c r="I763" t="s">
        <v>1022</v>
      </c>
      <c r="J763" t="str">
        <f t="shared" si="44"/>
        <v>Low Risk</v>
      </c>
      <c r="K763" t="str">
        <f t="shared" si="45"/>
        <v>Young</v>
      </c>
      <c r="L763" t="str">
        <f t="shared" si="46"/>
        <v>Medium</v>
      </c>
      <c r="M763" t="str">
        <f t="shared" si="47"/>
        <v>Low Risk</v>
      </c>
    </row>
    <row r="764" spans="1:13" x14ac:dyDescent="0.3">
      <c r="A764">
        <v>24</v>
      </c>
      <c r="B764" t="s">
        <v>1010</v>
      </c>
      <c r="C764">
        <v>1</v>
      </c>
      <c r="D764" t="s">
        <v>1016</v>
      </c>
      <c r="E764" t="s">
        <v>1012</v>
      </c>
      <c r="F764" t="s">
        <v>1012</v>
      </c>
      <c r="G764" s="5">
        <v>2214</v>
      </c>
      <c r="H764">
        <v>12</v>
      </c>
      <c r="I764" t="s">
        <v>1023</v>
      </c>
      <c r="J764" t="str">
        <f t="shared" si="44"/>
        <v>Low Risk</v>
      </c>
      <c r="K764" t="str">
        <f t="shared" si="45"/>
        <v>Young</v>
      </c>
      <c r="L764" t="str">
        <f t="shared" si="46"/>
        <v>Medium</v>
      </c>
      <c r="M764" t="str">
        <f t="shared" si="47"/>
        <v>Low Risk</v>
      </c>
    </row>
    <row r="765" spans="1:13" x14ac:dyDescent="0.3">
      <c r="A765">
        <v>30</v>
      </c>
      <c r="B765" t="s">
        <v>1010</v>
      </c>
      <c r="C765">
        <v>3</v>
      </c>
      <c r="D765" t="s">
        <v>1015</v>
      </c>
      <c r="E765" t="s">
        <v>1011</v>
      </c>
      <c r="F765" t="s">
        <v>1011</v>
      </c>
      <c r="G765" s="5">
        <v>12680</v>
      </c>
      <c r="H765">
        <v>21</v>
      </c>
      <c r="I765" t="s">
        <v>1019</v>
      </c>
      <c r="J765" t="str">
        <f t="shared" si="44"/>
        <v>High Risk</v>
      </c>
      <c r="K765" t="str">
        <f t="shared" si="45"/>
        <v>Senior</v>
      </c>
      <c r="L765" t="str">
        <f t="shared" si="46"/>
        <v>Medium</v>
      </c>
      <c r="M765" t="str">
        <f t="shared" si="47"/>
        <v>HighRisk</v>
      </c>
    </row>
    <row r="766" spans="1:13" x14ac:dyDescent="0.3">
      <c r="A766">
        <v>27</v>
      </c>
      <c r="B766" t="s">
        <v>1010</v>
      </c>
      <c r="C766">
        <v>2</v>
      </c>
      <c r="D766" t="s">
        <v>1016</v>
      </c>
      <c r="E766" t="s">
        <v>1013</v>
      </c>
      <c r="F766" t="s">
        <v>1011</v>
      </c>
      <c r="G766" s="5">
        <v>2463</v>
      </c>
      <c r="H766">
        <v>24</v>
      </c>
      <c r="I766" t="s">
        <v>1019</v>
      </c>
      <c r="J766" t="str">
        <f t="shared" si="44"/>
        <v>Low Risk</v>
      </c>
      <c r="K766" t="str">
        <f t="shared" si="45"/>
        <v>Young</v>
      </c>
      <c r="L766" t="str">
        <f t="shared" si="46"/>
        <v>Medium</v>
      </c>
      <c r="M766" t="str">
        <f t="shared" si="47"/>
        <v>Low Risk</v>
      </c>
    </row>
    <row r="767" spans="1:13" x14ac:dyDescent="0.3">
      <c r="A767">
        <v>40</v>
      </c>
      <c r="B767" t="s">
        <v>1010</v>
      </c>
      <c r="C767">
        <v>1</v>
      </c>
      <c r="D767" t="s">
        <v>1016</v>
      </c>
      <c r="E767" t="s">
        <v>1012</v>
      </c>
      <c r="F767" t="s">
        <v>1013</v>
      </c>
      <c r="G767" s="5">
        <v>1155</v>
      </c>
      <c r="H767">
        <v>12</v>
      </c>
      <c r="I767" t="s">
        <v>1023</v>
      </c>
      <c r="J767" t="str">
        <f t="shared" si="44"/>
        <v>Low Risk</v>
      </c>
      <c r="K767" t="str">
        <f t="shared" si="45"/>
        <v>Senior</v>
      </c>
      <c r="L767" t="str">
        <f t="shared" si="46"/>
        <v>Medium</v>
      </c>
      <c r="M767" t="str">
        <f t="shared" si="47"/>
        <v>Low Risk</v>
      </c>
    </row>
    <row r="768" spans="1:13" x14ac:dyDescent="0.3">
      <c r="A768">
        <v>31</v>
      </c>
      <c r="B768" t="s">
        <v>1010</v>
      </c>
      <c r="C768">
        <v>1</v>
      </c>
      <c r="D768" t="s">
        <v>1016</v>
      </c>
      <c r="E768" t="s">
        <v>1012</v>
      </c>
      <c r="F768" t="s">
        <v>1012</v>
      </c>
      <c r="G768" s="5">
        <v>3108</v>
      </c>
      <c r="H768">
        <v>30</v>
      </c>
      <c r="I768" t="s">
        <v>1022</v>
      </c>
      <c r="J768" t="str">
        <f t="shared" si="44"/>
        <v>Low Risk</v>
      </c>
      <c r="K768" t="str">
        <f t="shared" si="45"/>
        <v>Senior</v>
      </c>
      <c r="L768" t="str">
        <f t="shared" si="46"/>
        <v>Medium</v>
      </c>
      <c r="M768" t="str">
        <f t="shared" si="47"/>
        <v>Medium Risk</v>
      </c>
    </row>
    <row r="769" spans="1:13" x14ac:dyDescent="0.3">
      <c r="A769">
        <v>31</v>
      </c>
      <c r="B769" t="s">
        <v>1009</v>
      </c>
      <c r="C769">
        <v>2</v>
      </c>
      <c r="D769" t="s">
        <v>1017</v>
      </c>
      <c r="E769" t="s">
        <v>1011</v>
      </c>
      <c r="F769" t="s">
        <v>1011</v>
      </c>
      <c r="G769" s="5">
        <v>2901</v>
      </c>
      <c r="H769">
        <v>10</v>
      </c>
      <c r="I769" t="s">
        <v>1019</v>
      </c>
      <c r="J769" t="str">
        <f t="shared" si="44"/>
        <v>Low Risk</v>
      </c>
      <c r="K769" t="str">
        <f t="shared" si="45"/>
        <v>Senior</v>
      </c>
      <c r="L769" t="str">
        <f t="shared" si="46"/>
        <v>Short</v>
      </c>
      <c r="M769" t="str">
        <f t="shared" si="47"/>
        <v>Low Risk</v>
      </c>
    </row>
    <row r="770" spans="1:13" x14ac:dyDescent="0.3">
      <c r="A770">
        <v>28</v>
      </c>
      <c r="B770" t="s">
        <v>1010</v>
      </c>
      <c r="C770">
        <v>2</v>
      </c>
      <c r="D770" t="s">
        <v>1017</v>
      </c>
      <c r="E770" t="s">
        <v>1012</v>
      </c>
      <c r="F770" t="s">
        <v>1013</v>
      </c>
      <c r="G770" s="5">
        <v>3617</v>
      </c>
      <c r="H770">
        <v>12</v>
      </c>
      <c r="I770" t="s">
        <v>1022</v>
      </c>
      <c r="J770" t="str">
        <f t="shared" si="44"/>
        <v>Low Risk</v>
      </c>
      <c r="K770" t="str">
        <f t="shared" si="45"/>
        <v>Young</v>
      </c>
      <c r="L770" t="str">
        <f t="shared" si="46"/>
        <v>Medium</v>
      </c>
      <c r="M770" t="str">
        <f t="shared" si="47"/>
        <v>Medium Risk</v>
      </c>
    </row>
    <row r="771" spans="1:13" x14ac:dyDescent="0.3">
      <c r="A771">
        <v>63</v>
      </c>
      <c r="B771" t="s">
        <v>1010</v>
      </c>
      <c r="C771">
        <v>1</v>
      </c>
      <c r="D771" t="s">
        <v>1016</v>
      </c>
      <c r="E771" t="s">
        <v>1012</v>
      </c>
      <c r="F771" t="s">
        <v>1011</v>
      </c>
      <c r="G771" s="5">
        <v>1655</v>
      </c>
      <c r="H771">
        <v>12</v>
      </c>
      <c r="I771" t="s">
        <v>1023</v>
      </c>
      <c r="J771" t="str">
        <f t="shared" ref="J771:J834" si="48">IF(OR(G771&gt;7000,H771&gt;36),"High Risk",
IF(AND(G771&gt;4000,H771&gt;24),"Medium Risk",
"Low Risk"))</f>
        <v>Low Risk</v>
      </c>
      <c r="K771" t="str">
        <f t="shared" ref="K771:K834" si="49">IF(A771&lt;30,"Young",IF(A771&gt;50,"Adult","Senior"))</f>
        <v>Adult</v>
      </c>
      <c r="L771" t="str">
        <f t="shared" ref="L771:L834" si="50">IF(H771&lt;12,"Short",IF(H771&lt;36,"Medium","Long"))</f>
        <v>Medium</v>
      </c>
      <c r="M771" t="str">
        <f t="shared" ref="M771:M834" si="51">IF(G771&lt;3000,"Low Risk",IF(G771&lt;=6000,"Medium Risk","HighRisk"))</f>
        <v>Low Risk</v>
      </c>
    </row>
    <row r="772" spans="1:13" x14ac:dyDescent="0.3">
      <c r="A772">
        <v>26</v>
      </c>
      <c r="B772" t="s">
        <v>1009</v>
      </c>
      <c r="C772">
        <v>2</v>
      </c>
      <c r="D772" t="s">
        <v>1017</v>
      </c>
      <c r="E772" t="s">
        <v>1011</v>
      </c>
      <c r="F772" t="s">
        <v>1012</v>
      </c>
      <c r="G772" s="5">
        <v>2812</v>
      </c>
      <c r="H772">
        <v>24</v>
      </c>
      <c r="I772" t="s">
        <v>1019</v>
      </c>
      <c r="J772" t="str">
        <f t="shared" si="48"/>
        <v>Low Risk</v>
      </c>
      <c r="K772" t="str">
        <f t="shared" si="49"/>
        <v>Young</v>
      </c>
      <c r="L772" t="str">
        <f t="shared" si="50"/>
        <v>Medium</v>
      </c>
      <c r="M772" t="str">
        <f t="shared" si="51"/>
        <v>Low Risk</v>
      </c>
    </row>
    <row r="773" spans="1:13" x14ac:dyDescent="0.3">
      <c r="A773">
        <v>25</v>
      </c>
      <c r="B773" t="s">
        <v>1009</v>
      </c>
      <c r="C773">
        <v>3</v>
      </c>
      <c r="D773" t="s">
        <v>1016</v>
      </c>
      <c r="E773" t="s">
        <v>1012</v>
      </c>
      <c r="F773" t="s">
        <v>1012</v>
      </c>
      <c r="G773" s="5">
        <v>8065</v>
      </c>
      <c r="H773">
        <v>36</v>
      </c>
      <c r="I773" t="s">
        <v>1021</v>
      </c>
      <c r="J773" t="str">
        <f t="shared" si="48"/>
        <v>High Risk</v>
      </c>
      <c r="K773" t="str">
        <f t="shared" si="49"/>
        <v>Young</v>
      </c>
      <c r="L773" t="str">
        <f t="shared" si="50"/>
        <v>Long</v>
      </c>
      <c r="M773" t="str">
        <f t="shared" si="51"/>
        <v>HighRisk</v>
      </c>
    </row>
    <row r="774" spans="1:13" x14ac:dyDescent="0.3">
      <c r="A774">
        <v>36</v>
      </c>
      <c r="B774" t="s">
        <v>1010</v>
      </c>
      <c r="C774">
        <v>3</v>
      </c>
      <c r="D774" t="s">
        <v>1016</v>
      </c>
      <c r="E774" t="s">
        <v>1012</v>
      </c>
      <c r="F774" t="s">
        <v>1011</v>
      </c>
      <c r="G774" s="5">
        <v>3275</v>
      </c>
      <c r="H774">
        <v>21</v>
      </c>
      <c r="I774" t="s">
        <v>1019</v>
      </c>
      <c r="J774" t="str">
        <f t="shared" si="48"/>
        <v>Low Risk</v>
      </c>
      <c r="K774" t="str">
        <f t="shared" si="49"/>
        <v>Senior</v>
      </c>
      <c r="L774" t="str">
        <f t="shared" si="50"/>
        <v>Medium</v>
      </c>
      <c r="M774" t="str">
        <f t="shared" si="51"/>
        <v>Medium Risk</v>
      </c>
    </row>
    <row r="775" spans="1:13" x14ac:dyDescent="0.3">
      <c r="A775">
        <v>52</v>
      </c>
      <c r="B775" t="s">
        <v>1010</v>
      </c>
      <c r="C775">
        <v>2</v>
      </c>
      <c r="D775" t="s">
        <v>1016</v>
      </c>
      <c r="E775" t="s">
        <v>1013</v>
      </c>
      <c r="F775" t="s">
        <v>1011</v>
      </c>
      <c r="G775" s="5">
        <v>2223</v>
      </c>
      <c r="H775">
        <v>24</v>
      </c>
      <c r="I775" t="s">
        <v>1023</v>
      </c>
      <c r="J775" t="str">
        <f t="shared" si="48"/>
        <v>Low Risk</v>
      </c>
      <c r="K775" t="str">
        <f t="shared" si="49"/>
        <v>Adult</v>
      </c>
      <c r="L775" t="str">
        <f t="shared" si="50"/>
        <v>Medium</v>
      </c>
      <c r="M775" t="str">
        <f t="shared" si="51"/>
        <v>Low Risk</v>
      </c>
    </row>
    <row r="776" spans="1:13" x14ac:dyDescent="0.3">
      <c r="A776">
        <v>66</v>
      </c>
      <c r="B776" t="s">
        <v>1010</v>
      </c>
      <c r="C776">
        <v>0</v>
      </c>
      <c r="D776" t="s">
        <v>1015</v>
      </c>
      <c r="E776" t="s">
        <v>1014</v>
      </c>
      <c r="F776" t="s">
        <v>1008</v>
      </c>
      <c r="G776" s="5">
        <v>1480</v>
      </c>
      <c r="H776">
        <v>12</v>
      </c>
      <c r="I776" t="s">
        <v>1019</v>
      </c>
      <c r="J776" t="str">
        <f t="shared" si="48"/>
        <v>Low Risk</v>
      </c>
      <c r="K776" t="str">
        <f t="shared" si="49"/>
        <v>Adult</v>
      </c>
      <c r="L776" t="str">
        <f t="shared" si="50"/>
        <v>Medium</v>
      </c>
      <c r="M776" t="str">
        <f t="shared" si="51"/>
        <v>Low Risk</v>
      </c>
    </row>
    <row r="777" spans="1:13" x14ac:dyDescent="0.3">
      <c r="A777">
        <v>25</v>
      </c>
      <c r="B777" t="s">
        <v>1009</v>
      </c>
      <c r="C777">
        <v>2</v>
      </c>
      <c r="D777" t="s">
        <v>1017</v>
      </c>
      <c r="E777" t="s">
        <v>1011</v>
      </c>
      <c r="F777" t="s">
        <v>1012</v>
      </c>
      <c r="G777" s="5">
        <v>1371</v>
      </c>
      <c r="H777">
        <v>24</v>
      </c>
      <c r="I777" t="s">
        <v>1019</v>
      </c>
      <c r="J777" t="str">
        <f t="shared" si="48"/>
        <v>Low Risk</v>
      </c>
      <c r="K777" t="str">
        <f t="shared" si="49"/>
        <v>Young</v>
      </c>
      <c r="L777" t="str">
        <f t="shared" si="50"/>
        <v>Medium</v>
      </c>
      <c r="M777" t="str">
        <f t="shared" si="51"/>
        <v>Low Risk</v>
      </c>
    </row>
    <row r="778" spans="1:13" x14ac:dyDescent="0.3">
      <c r="A778">
        <v>37</v>
      </c>
      <c r="B778" t="s">
        <v>1010</v>
      </c>
      <c r="C778">
        <v>2</v>
      </c>
      <c r="D778" t="s">
        <v>1016</v>
      </c>
      <c r="E778" t="s">
        <v>1012</v>
      </c>
      <c r="F778" t="s">
        <v>1011</v>
      </c>
      <c r="G778" s="5">
        <v>3535</v>
      </c>
      <c r="H778">
        <v>36</v>
      </c>
      <c r="I778" t="s">
        <v>1019</v>
      </c>
      <c r="J778" t="str">
        <f t="shared" si="48"/>
        <v>Low Risk</v>
      </c>
      <c r="K778" t="str">
        <f t="shared" si="49"/>
        <v>Senior</v>
      </c>
      <c r="L778" t="str">
        <f t="shared" si="50"/>
        <v>Long</v>
      </c>
      <c r="M778" t="str">
        <f t="shared" si="51"/>
        <v>Medium Risk</v>
      </c>
    </row>
    <row r="779" spans="1:13" x14ac:dyDescent="0.3">
      <c r="A779">
        <v>25</v>
      </c>
      <c r="B779" t="s">
        <v>1009</v>
      </c>
      <c r="C779">
        <v>2</v>
      </c>
      <c r="D779" t="s">
        <v>1016</v>
      </c>
      <c r="E779" t="s">
        <v>1012</v>
      </c>
      <c r="F779" t="s">
        <v>1012</v>
      </c>
      <c r="G779" s="5">
        <v>3509</v>
      </c>
      <c r="H779">
        <v>18</v>
      </c>
      <c r="I779" t="s">
        <v>1023</v>
      </c>
      <c r="J779" t="str">
        <f t="shared" si="48"/>
        <v>Low Risk</v>
      </c>
      <c r="K779" t="str">
        <f t="shared" si="49"/>
        <v>Young</v>
      </c>
      <c r="L779" t="str">
        <f t="shared" si="50"/>
        <v>Medium</v>
      </c>
      <c r="M779" t="str">
        <f t="shared" si="51"/>
        <v>Medium Risk</v>
      </c>
    </row>
    <row r="780" spans="1:13" x14ac:dyDescent="0.3">
      <c r="A780">
        <v>38</v>
      </c>
      <c r="B780" t="s">
        <v>1010</v>
      </c>
      <c r="C780">
        <v>3</v>
      </c>
      <c r="D780" t="s">
        <v>1016</v>
      </c>
      <c r="E780" t="s">
        <v>1008</v>
      </c>
      <c r="F780" t="s">
        <v>1011</v>
      </c>
      <c r="G780" s="5">
        <v>5711</v>
      </c>
      <c r="H780">
        <v>36</v>
      </c>
      <c r="I780" t="s">
        <v>1019</v>
      </c>
      <c r="J780" t="str">
        <f t="shared" si="48"/>
        <v>Medium Risk</v>
      </c>
      <c r="K780" t="str">
        <f t="shared" si="49"/>
        <v>Senior</v>
      </c>
      <c r="L780" t="str">
        <f t="shared" si="50"/>
        <v>Long</v>
      </c>
      <c r="M780" t="str">
        <f t="shared" si="51"/>
        <v>Medium Risk</v>
      </c>
    </row>
    <row r="781" spans="1:13" x14ac:dyDescent="0.3">
      <c r="A781">
        <v>67</v>
      </c>
      <c r="B781" t="s">
        <v>1009</v>
      </c>
      <c r="C781">
        <v>2</v>
      </c>
      <c r="D781" t="s">
        <v>1016</v>
      </c>
      <c r="E781" t="s">
        <v>1012</v>
      </c>
      <c r="F781" t="s">
        <v>1013</v>
      </c>
      <c r="G781" s="5">
        <v>3872</v>
      </c>
      <c r="H781">
        <v>18</v>
      </c>
      <c r="I781" t="s">
        <v>1024</v>
      </c>
      <c r="J781" t="str">
        <f t="shared" si="48"/>
        <v>Low Risk</v>
      </c>
      <c r="K781" t="str">
        <f t="shared" si="49"/>
        <v>Adult</v>
      </c>
      <c r="L781" t="str">
        <f t="shared" si="50"/>
        <v>Medium</v>
      </c>
      <c r="M781" t="str">
        <f t="shared" si="51"/>
        <v>Medium Risk</v>
      </c>
    </row>
    <row r="782" spans="1:13" x14ac:dyDescent="0.3">
      <c r="A782">
        <v>25</v>
      </c>
      <c r="B782" t="s">
        <v>1010</v>
      </c>
      <c r="C782">
        <v>2</v>
      </c>
      <c r="D782" t="s">
        <v>1016</v>
      </c>
      <c r="E782" t="s">
        <v>1012</v>
      </c>
      <c r="F782" t="s">
        <v>1013</v>
      </c>
      <c r="G782" s="5">
        <v>4933</v>
      </c>
      <c r="H782">
        <v>39</v>
      </c>
      <c r="I782" t="s">
        <v>1023</v>
      </c>
      <c r="J782" t="str">
        <f t="shared" si="48"/>
        <v>High Risk</v>
      </c>
      <c r="K782" t="str">
        <f t="shared" si="49"/>
        <v>Young</v>
      </c>
      <c r="L782" t="str">
        <f t="shared" si="50"/>
        <v>Long</v>
      </c>
      <c r="M782" t="str">
        <f t="shared" si="51"/>
        <v>Medium Risk</v>
      </c>
    </row>
    <row r="783" spans="1:13" x14ac:dyDescent="0.3">
      <c r="A783">
        <v>60</v>
      </c>
      <c r="B783" t="s">
        <v>1010</v>
      </c>
      <c r="C783">
        <v>2</v>
      </c>
      <c r="D783" t="s">
        <v>1016</v>
      </c>
      <c r="E783" t="s">
        <v>1008</v>
      </c>
      <c r="F783" t="s">
        <v>1011</v>
      </c>
      <c r="G783" s="5">
        <v>1940</v>
      </c>
      <c r="H783">
        <v>24</v>
      </c>
      <c r="I783" t="s">
        <v>1019</v>
      </c>
      <c r="J783" t="str">
        <f t="shared" si="48"/>
        <v>Low Risk</v>
      </c>
      <c r="K783" t="str">
        <f t="shared" si="49"/>
        <v>Adult</v>
      </c>
      <c r="L783" t="str">
        <f t="shared" si="50"/>
        <v>Medium</v>
      </c>
      <c r="M783" t="str">
        <f t="shared" si="51"/>
        <v>Low Risk</v>
      </c>
    </row>
    <row r="784" spans="1:13" x14ac:dyDescent="0.3">
      <c r="A784">
        <v>31</v>
      </c>
      <c r="B784" t="s">
        <v>1010</v>
      </c>
      <c r="C784">
        <v>1</v>
      </c>
      <c r="D784" t="s">
        <v>1016</v>
      </c>
      <c r="E784" t="s">
        <v>1012</v>
      </c>
      <c r="F784" t="s">
        <v>1013</v>
      </c>
      <c r="G784" s="5">
        <v>1410</v>
      </c>
      <c r="H784">
        <v>12</v>
      </c>
      <c r="I784" t="s">
        <v>1021</v>
      </c>
      <c r="J784" t="str">
        <f t="shared" si="48"/>
        <v>Low Risk</v>
      </c>
      <c r="K784" t="str">
        <f t="shared" si="49"/>
        <v>Senior</v>
      </c>
      <c r="L784" t="str">
        <f t="shared" si="50"/>
        <v>Medium</v>
      </c>
      <c r="M784" t="str">
        <f t="shared" si="51"/>
        <v>Low Risk</v>
      </c>
    </row>
    <row r="785" spans="1:13" x14ac:dyDescent="0.3">
      <c r="A785">
        <v>23</v>
      </c>
      <c r="B785" t="s">
        <v>1009</v>
      </c>
      <c r="C785">
        <v>1</v>
      </c>
      <c r="D785" t="s">
        <v>1016</v>
      </c>
      <c r="E785" t="s">
        <v>1013</v>
      </c>
      <c r="F785" t="s">
        <v>1013</v>
      </c>
      <c r="G785" s="5">
        <v>836</v>
      </c>
      <c r="H785">
        <v>12</v>
      </c>
      <c r="I785" t="s">
        <v>1019</v>
      </c>
      <c r="J785" t="str">
        <f t="shared" si="48"/>
        <v>Low Risk</v>
      </c>
      <c r="K785" t="str">
        <f t="shared" si="49"/>
        <v>Young</v>
      </c>
      <c r="L785" t="str">
        <f t="shared" si="50"/>
        <v>Medium</v>
      </c>
      <c r="M785" t="str">
        <f t="shared" si="51"/>
        <v>Low Risk</v>
      </c>
    </row>
    <row r="786" spans="1:13" x14ac:dyDescent="0.3">
      <c r="A786">
        <v>60</v>
      </c>
      <c r="B786" t="s">
        <v>1010</v>
      </c>
      <c r="C786">
        <v>3</v>
      </c>
      <c r="D786" t="s">
        <v>1016</v>
      </c>
      <c r="E786" t="s">
        <v>1011</v>
      </c>
      <c r="F786" t="s">
        <v>1013</v>
      </c>
      <c r="G786" s="5">
        <v>6468</v>
      </c>
      <c r="H786">
        <v>20</v>
      </c>
      <c r="I786" t="s">
        <v>1019</v>
      </c>
      <c r="J786" t="str">
        <f t="shared" si="48"/>
        <v>Low Risk</v>
      </c>
      <c r="K786" t="str">
        <f t="shared" si="49"/>
        <v>Adult</v>
      </c>
      <c r="L786" t="str">
        <f t="shared" si="50"/>
        <v>Medium</v>
      </c>
      <c r="M786" t="str">
        <f t="shared" si="51"/>
        <v>HighRisk</v>
      </c>
    </row>
    <row r="787" spans="1:13" x14ac:dyDescent="0.3">
      <c r="A787">
        <v>35</v>
      </c>
      <c r="B787" t="s">
        <v>1010</v>
      </c>
      <c r="C787">
        <v>1</v>
      </c>
      <c r="D787" t="s">
        <v>1016</v>
      </c>
      <c r="E787" t="s">
        <v>1008</v>
      </c>
      <c r="F787" t="s">
        <v>1013</v>
      </c>
      <c r="G787" s="5">
        <v>1941</v>
      </c>
      <c r="H787">
        <v>18</v>
      </c>
      <c r="I787" t="s">
        <v>1018</v>
      </c>
      <c r="J787" t="str">
        <f t="shared" si="48"/>
        <v>Low Risk</v>
      </c>
      <c r="K787" t="str">
        <f t="shared" si="49"/>
        <v>Senior</v>
      </c>
      <c r="L787" t="str">
        <f t="shared" si="50"/>
        <v>Medium</v>
      </c>
      <c r="M787" t="str">
        <f t="shared" si="51"/>
        <v>Low Risk</v>
      </c>
    </row>
    <row r="788" spans="1:13" x14ac:dyDescent="0.3">
      <c r="A788">
        <v>40</v>
      </c>
      <c r="B788" t="s">
        <v>1010</v>
      </c>
      <c r="C788">
        <v>2</v>
      </c>
      <c r="D788" t="s">
        <v>1016</v>
      </c>
      <c r="E788" t="s">
        <v>1014</v>
      </c>
      <c r="F788" t="s">
        <v>1011</v>
      </c>
      <c r="G788" s="5">
        <v>2675</v>
      </c>
      <c r="H788">
        <v>22</v>
      </c>
      <c r="I788" t="s">
        <v>1023</v>
      </c>
      <c r="J788" t="str">
        <f t="shared" si="48"/>
        <v>Low Risk</v>
      </c>
      <c r="K788" t="str">
        <f t="shared" si="49"/>
        <v>Senior</v>
      </c>
      <c r="L788" t="str">
        <f t="shared" si="50"/>
        <v>Medium</v>
      </c>
      <c r="M788" t="str">
        <f t="shared" si="51"/>
        <v>Low Risk</v>
      </c>
    </row>
    <row r="789" spans="1:13" x14ac:dyDescent="0.3">
      <c r="A789">
        <v>38</v>
      </c>
      <c r="B789" t="s">
        <v>1010</v>
      </c>
      <c r="C789">
        <v>2</v>
      </c>
      <c r="D789" t="s">
        <v>1016</v>
      </c>
      <c r="E789" t="s">
        <v>1011</v>
      </c>
      <c r="F789" t="s">
        <v>1011</v>
      </c>
      <c r="G789" s="5">
        <v>2751</v>
      </c>
      <c r="H789">
        <v>48</v>
      </c>
      <c r="I789" t="s">
        <v>1019</v>
      </c>
      <c r="J789" t="str">
        <f t="shared" si="48"/>
        <v>High Risk</v>
      </c>
      <c r="K789" t="str">
        <f t="shared" si="49"/>
        <v>Senior</v>
      </c>
      <c r="L789" t="str">
        <f t="shared" si="50"/>
        <v>Long</v>
      </c>
      <c r="M789" t="str">
        <f t="shared" si="51"/>
        <v>Low Risk</v>
      </c>
    </row>
    <row r="790" spans="1:13" x14ac:dyDescent="0.3">
      <c r="A790">
        <v>50</v>
      </c>
      <c r="B790" t="s">
        <v>1010</v>
      </c>
      <c r="C790">
        <v>2</v>
      </c>
      <c r="D790" t="s">
        <v>1015</v>
      </c>
      <c r="E790" t="s">
        <v>1012</v>
      </c>
      <c r="F790" t="s">
        <v>1013</v>
      </c>
      <c r="G790" s="5">
        <v>6224</v>
      </c>
      <c r="H790">
        <v>48</v>
      </c>
      <c r="I790" t="s">
        <v>1021</v>
      </c>
      <c r="J790" t="str">
        <f t="shared" si="48"/>
        <v>High Risk</v>
      </c>
      <c r="K790" t="str">
        <f t="shared" si="49"/>
        <v>Senior</v>
      </c>
      <c r="L790" t="str">
        <f t="shared" si="50"/>
        <v>Long</v>
      </c>
      <c r="M790" t="str">
        <f t="shared" si="51"/>
        <v>HighRisk</v>
      </c>
    </row>
    <row r="791" spans="1:13" x14ac:dyDescent="0.3">
      <c r="A791">
        <v>27</v>
      </c>
      <c r="B791" t="s">
        <v>1010</v>
      </c>
      <c r="C791">
        <v>2</v>
      </c>
      <c r="D791" t="s">
        <v>1016</v>
      </c>
      <c r="E791" t="s">
        <v>1012</v>
      </c>
      <c r="F791" t="s">
        <v>1012</v>
      </c>
      <c r="G791" s="5">
        <v>5998</v>
      </c>
      <c r="H791">
        <v>40</v>
      </c>
      <c r="I791" t="s">
        <v>1021</v>
      </c>
      <c r="J791" t="str">
        <f t="shared" si="48"/>
        <v>High Risk</v>
      </c>
      <c r="K791" t="str">
        <f t="shared" si="49"/>
        <v>Young</v>
      </c>
      <c r="L791" t="str">
        <f t="shared" si="50"/>
        <v>Long</v>
      </c>
      <c r="M791" t="str">
        <f t="shared" si="51"/>
        <v>Medium Risk</v>
      </c>
    </row>
    <row r="792" spans="1:13" x14ac:dyDescent="0.3">
      <c r="A792">
        <v>39</v>
      </c>
      <c r="B792" t="s">
        <v>1009</v>
      </c>
      <c r="C792">
        <v>2</v>
      </c>
      <c r="D792" t="s">
        <v>1016</v>
      </c>
      <c r="E792" t="s">
        <v>1012</v>
      </c>
      <c r="F792" t="s">
        <v>1013</v>
      </c>
      <c r="G792" s="5">
        <v>1188</v>
      </c>
      <c r="H792">
        <v>21</v>
      </c>
      <c r="I792" t="s">
        <v>1018</v>
      </c>
      <c r="J792" t="str">
        <f t="shared" si="48"/>
        <v>Low Risk</v>
      </c>
      <c r="K792" t="str">
        <f t="shared" si="49"/>
        <v>Senior</v>
      </c>
      <c r="L792" t="str">
        <f t="shared" si="50"/>
        <v>Medium</v>
      </c>
      <c r="M792" t="str">
        <f t="shared" si="51"/>
        <v>Low Risk</v>
      </c>
    </row>
    <row r="793" spans="1:13" x14ac:dyDescent="0.3">
      <c r="A793">
        <v>41</v>
      </c>
      <c r="B793" t="s">
        <v>1010</v>
      </c>
      <c r="C793">
        <v>3</v>
      </c>
      <c r="D793" t="s">
        <v>1016</v>
      </c>
      <c r="E793" t="s">
        <v>1011</v>
      </c>
      <c r="F793" t="s">
        <v>1011</v>
      </c>
      <c r="G793" s="5">
        <v>6313</v>
      </c>
      <c r="H793">
        <v>24</v>
      </c>
      <c r="I793" t="s">
        <v>1019</v>
      </c>
      <c r="J793" t="str">
        <f t="shared" si="48"/>
        <v>Low Risk</v>
      </c>
      <c r="K793" t="str">
        <f t="shared" si="49"/>
        <v>Senior</v>
      </c>
      <c r="L793" t="str">
        <f t="shared" si="50"/>
        <v>Medium</v>
      </c>
      <c r="M793" t="str">
        <f t="shared" si="51"/>
        <v>HighRisk</v>
      </c>
    </row>
    <row r="794" spans="1:13" x14ac:dyDescent="0.3">
      <c r="A794">
        <v>27</v>
      </c>
      <c r="B794" t="s">
        <v>1010</v>
      </c>
      <c r="C794">
        <v>2</v>
      </c>
      <c r="D794" t="s">
        <v>1016</v>
      </c>
      <c r="E794" t="s">
        <v>1011</v>
      </c>
      <c r="F794" t="s">
        <v>1011</v>
      </c>
      <c r="G794" s="5">
        <v>1221</v>
      </c>
      <c r="H794">
        <v>6</v>
      </c>
      <c r="I794" t="s">
        <v>1022</v>
      </c>
      <c r="J794" t="str">
        <f t="shared" si="48"/>
        <v>Low Risk</v>
      </c>
      <c r="K794" t="str">
        <f t="shared" si="49"/>
        <v>Young</v>
      </c>
      <c r="L794" t="str">
        <f t="shared" si="50"/>
        <v>Short</v>
      </c>
      <c r="M794" t="str">
        <f t="shared" si="51"/>
        <v>Low Risk</v>
      </c>
    </row>
    <row r="795" spans="1:13" x14ac:dyDescent="0.3">
      <c r="A795">
        <v>51</v>
      </c>
      <c r="B795" t="s">
        <v>1010</v>
      </c>
      <c r="C795">
        <v>2</v>
      </c>
      <c r="D795" t="s">
        <v>1015</v>
      </c>
      <c r="E795" t="s">
        <v>1012</v>
      </c>
      <c r="F795" t="s">
        <v>1008</v>
      </c>
      <c r="G795" s="5">
        <v>2892</v>
      </c>
      <c r="H795">
        <v>24</v>
      </c>
      <c r="I795" t="s">
        <v>1022</v>
      </c>
      <c r="J795" t="str">
        <f t="shared" si="48"/>
        <v>Low Risk</v>
      </c>
      <c r="K795" t="str">
        <f t="shared" si="49"/>
        <v>Adult</v>
      </c>
      <c r="L795" t="str">
        <f t="shared" si="50"/>
        <v>Medium</v>
      </c>
      <c r="M795" t="str">
        <f t="shared" si="51"/>
        <v>Low Risk</v>
      </c>
    </row>
    <row r="796" spans="1:13" x14ac:dyDescent="0.3">
      <c r="A796">
        <v>32</v>
      </c>
      <c r="B796" t="s">
        <v>1010</v>
      </c>
      <c r="C796">
        <v>2</v>
      </c>
      <c r="D796" t="s">
        <v>1017</v>
      </c>
      <c r="E796" t="s">
        <v>1014</v>
      </c>
      <c r="F796" t="s">
        <v>1011</v>
      </c>
      <c r="G796" s="5">
        <v>3062</v>
      </c>
      <c r="H796">
        <v>24</v>
      </c>
      <c r="I796" t="s">
        <v>1022</v>
      </c>
      <c r="J796" t="str">
        <f t="shared" si="48"/>
        <v>Low Risk</v>
      </c>
      <c r="K796" t="str">
        <f t="shared" si="49"/>
        <v>Senior</v>
      </c>
      <c r="L796" t="str">
        <f t="shared" si="50"/>
        <v>Medium</v>
      </c>
      <c r="M796" t="str">
        <f t="shared" si="51"/>
        <v>Medium Risk</v>
      </c>
    </row>
    <row r="797" spans="1:13" x14ac:dyDescent="0.3">
      <c r="A797">
        <v>22</v>
      </c>
      <c r="B797" t="s">
        <v>1009</v>
      </c>
      <c r="C797">
        <v>2</v>
      </c>
      <c r="D797" t="s">
        <v>1017</v>
      </c>
      <c r="E797" t="s">
        <v>1013</v>
      </c>
      <c r="F797" t="s">
        <v>1011</v>
      </c>
      <c r="G797" s="5">
        <v>2301</v>
      </c>
      <c r="H797">
        <v>9</v>
      </c>
      <c r="I797" t="s">
        <v>1022</v>
      </c>
      <c r="J797" t="str">
        <f t="shared" si="48"/>
        <v>Low Risk</v>
      </c>
      <c r="K797" t="str">
        <f t="shared" si="49"/>
        <v>Young</v>
      </c>
      <c r="L797" t="str">
        <f t="shared" si="50"/>
        <v>Short</v>
      </c>
      <c r="M797" t="str">
        <f t="shared" si="51"/>
        <v>Low Risk</v>
      </c>
    </row>
    <row r="798" spans="1:13" x14ac:dyDescent="0.3">
      <c r="A798">
        <v>51</v>
      </c>
      <c r="B798" t="s">
        <v>1010</v>
      </c>
      <c r="C798">
        <v>2</v>
      </c>
      <c r="D798" t="s">
        <v>1015</v>
      </c>
      <c r="E798" t="s">
        <v>1011</v>
      </c>
      <c r="F798" t="s">
        <v>1012</v>
      </c>
      <c r="G798" s="5">
        <v>7511</v>
      </c>
      <c r="H798">
        <v>18</v>
      </c>
      <c r="I798" t="s">
        <v>1019</v>
      </c>
      <c r="J798" t="str">
        <f t="shared" si="48"/>
        <v>High Risk</v>
      </c>
      <c r="K798" t="str">
        <f t="shared" si="49"/>
        <v>Adult</v>
      </c>
      <c r="L798" t="str">
        <f t="shared" si="50"/>
        <v>Medium</v>
      </c>
      <c r="M798" t="str">
        <f t="shared" si="51"/>
        <v>HighRisk</v>
      </c>
    </row>
    <row r="799" spans="1:13" x14ac:dyDescent="0.3">
      <c r="A799">
        <v>22</v>
      </c>
      <c r="B799" t="s">
        <v>1009</v>
      </c>
      <c r="C799">
        <v>1</v>
      </c>
      <c r="D799" t="s">
        <v>1017</v>
      </c>
      <c r="E799" t="s">
        <v>1012</v>
      </c>
      <c r="F799" t="s">
        <v>1011</v>
      </c>
      <c r="G799" s="5">
        <v>1258</v>
      </c>
      <c r="H799">
        <v>12</v>
      </c>
      <c r="I799" t="s">
        <v>1022</v>
      </c>
      <c r="J799" t="str">
        <f t="shared" si="48"/>
        <v>Low Risk</v>
      </c>
      <c r="K799" t="str">
        <f t="shared" si="49"/>
        <v>Young</v>
      </c>
      <c r="L799" t="str">
        <f t="shared" si="50"/>
        <v>Medium</v>
      </c>
      <c r="M799" t="str">
        <f t="shared" si="51"/>
        <v>Low Risk</v>
      </c>
    </row>
    <row r="800" spans="1:13" x14ac:dyDescent="0.3">
      <c r="A800">
        <v>54</v>
      </c>
      <c r="B800" t="s">
        <v>1010</v>
      </c>
      <c r="C800">
        <v>2</v>
      </c>
      <c r="D800" t="s">
        <v>1016</v>
      </c>
      <c r="E800" t="s">
        <v>1011</v>
      </c>
      <c r="F800" t="s">
        <v>1011</v>
      </c>
      <c r="G800" s="5">
        <v>717</v>
      </c>
      <c r="H800">
        <v>24</v>
      </c>
      <c r="I800" t="s">
        <v>1019</v>
      </c>
      <c r="J800" t="str">
        <f t="shared" si="48"/>
        <v>Low Risk</v>
      </c>
      <c r="K800" t="str">
        <f t="shared" si="49"/>
        <v>Adult</v>
      </c>
      <c r="L800" t="str">
        <f t="shared" si="50"/>
        <v>Medium</v>
      </c>
      <c r="M800" t="str">
        <f t="shared" si="51"/>
        <v>Low Risk</v>
      </c>
    </row>
    <row r="801" spans="1:13" x14ac:dyDescent="0.3">
      <c r="A801">
        <v>35</v>
      </c>
      <c r="B801" t="s">
        <v>1010</v>
      </c>
      <c r="C801">
        <v>0</v>
      </c>
      <c r="D801" t="s">
        <v>1016</v>
      </c>
      <c r="E801" t="s">
        <v>1011</v>
      </c>
      <c r="F801" t="s">
        <v>1013</v>
      </c>
      <c r="G801" s="5">
        <v>1549</v>
      </c>
      <c r="H801">
        <v>9</v>
      </c>
      <c r="I801" t="s">
        <v>1019</v>
      </c>
      <c r="J801" t="str">
        <f t="shared" si="48"/>
        <v>Low Risk</v>
      </c>
      <c r="K801" t="str">
        <f t="shared" si="49"/>
        <v>Senior</v>
      </c>
      <c r="L801" t="str">
        <f t="shared" si="50"/>
        <v>Short</v>
      </c>
      <c r="M801" t="str">
        <f t="shared" si="51"/>
        <v>Low Risk</v>
      </c>
    </row>
    <row r="802" spans="1:13" x14ac:dyDescent="0.3">
      <c r="A802">
        <v>54</v>
      </c>
      <c r="B802" t="s">
        <v>1010</v>
      </c>
      <c r="C802">
        <v>2</v>
      </c>
      <c r="D802" t="s">
        <v>1015</v>
      </c>
      <c r="E802" t="s">
        <v>1012</v>
      </c>
      <c r="F802" t="s">
        <v>1011</v>
      </c>
      <c r="G802" s="5">
        <v>1597</v>
      </c>
      <c r="H802">
        <v>24</v>
      </c>
      <c r="I802" t="s">
        <v>1021</v>
      </c>
      <c r="J802" t="str">
        <f t="shared" si="48"/>
        <v>Low Risk</v>
      </c>
      <c r="K802" t="str">
        <f t="shared" si="49"/>
        <v>Adult</v>
      </c>
      <c r="L802" t="str">
        <f t="shared" si="50"/>
        <v>Medium</v>
      </c>
      <c r="M802" t="str">
        <f t="shared" si="51"/>
        <v>Low Risk</v>
      </c>
    </row>
    <row r="803" spans="1:13" x14ac:dyDescent="0.3">
      <c r="A803">
        <v>48</v>
      </c>
      <c r="B803" t="s">
        <v>1009</v>
      </c>
      <c r="C803">
        <v>1</v>
      </c>
      <c r="D803" t="s">
        <v>1017</v>
      </c>
      <c r="E803" t="s">
        <v>1012</v>
      </c>
      <c r="F803" t="s">
        <v>1013</v>
      </c>
      <c r="G803" s="5">
        <v>1795</v>
      </c>
      <c r="H803">
        <v>18</v>
      </c>
      <c r="I803" t="s">
        <v>1023</v>
      </c>
      <c r="J803" t="str">
        <f t="shared" si="48"/>
        <v>Low Risk</v>
      </c>
      <c r="K803" t="str">
        <f t="shared" si="49"/>
        <v>Senior</v>
      </c>
      <c r="L803" t="str">
        <f t="shared" si="50"/>
        <v>Medium</v>
      </c>
      <c r="M803" t="str">
        <f t="shared" si="51"/>
        <v>Low Risk</v>
      </c>
    </row>
    <row r="804" spans="1:13" x14ac:dyDescent="0.3">
      <c r="A804">
        <v>24</v>
      </c>
      <c r="B804" t="s">
        <v>1009</v>
      </c>
      <c r="C804">
        <v>2</v>
      </c>
      <c r="D804" t="s">
        <v>1016</v>
      </c>
      <c r="E804" t="s">
        <v>1012</v>
      </c>
      <c r="F804" t="s">
        <v>1012</v>
      </c>
      <c r="G804" s="5">
        <v>4272</v>
      </c>
      <c r="H804">
        <v>20</v>
      </c>
      <c r="I804" t="s">
        <v>1022</v>
      </c>
      <c r="J804" t="str">
        <f t="shared" si="48"/>
        <v>Low Risk</v>
      </c>
      <c r="K804" t="str">
        <f t="shared" si="49"/>
        <v>Young</v>
      </c>
      <c r="L804" t="str">
        <f t="shared" si="50"/>
        <v>Medium</v>
      </c>
      <c r="M804" t="str">
        <f t="shared" si="51"/>
        <v>Medium Risk</v>
      </c>
    </row>
    <row r="805" spans="1:13" x14ac:dyDescent="0.3">
      <c r="A805">
        <v>35</v>
      </c>
      <c r="B805" t="s">
        <v>1010</v>
      </c>
      <c r="C805">
        <v>2</v>
      </c>
      <c r="D805" t="s">
        <v>1016</v>
      </c>
      <c r="E805" t="s">
        <v>1011</v>
      </c>
      <c r="F805" t="s">
        <v>1011</v>
      </c>
      <c r="G805" s="5">
        <v>976</v>
      </c>
      <c r="H805">
        <v>12</v>
      </c>
      <c r="I805" t="s">
        <v>1023</v>
      </c>
      <c r="J805" t="str">
        <f t="shared" si="48"/>
        <v>Low Risk</v>
      </c>
      <c r="K805" t="str">
        <f t="shared" si="49"/>
        <v>Senior</v>
      </c>
      <c r="L805" t="str">
        <f t="shared" si="50"/>
        <v>Medium</v>
      </c>
      <c r="M805" t="str">
        <f t="shared" si="51"/>
        <v>Low Risk</v>
      </c>
    </row>
    <row r="806" spans="1:13" x14ac:dyDescent="0.3">
      <c r="A806">
        <v>24</v>
      </c>
      <c r="B806" t="s">
        <v>1009</v>
      </c>
      <c r="C806">
        <v>0</v>
      </c>
      <c r="D806" t="s">
        <v>1017</v>
      </c>
      <c r="E806" t="s">
        <v>1011</v>
      </c>
      <c r="F806" t="s">
        <v>1013</v>
      </c>
      <c r="G806" s="5">
        <v>7472</v>
      </c>
      <c r="H806">
        <v>12</v>
      </c>
      <c r="I806" t="s">
        <v>1019</v>
      </c>
      <c r="J806" t="str">
        <f t="shared" si="48"/>
        <v>High Risk</v>
      </c>
      <c r="K806" t="str">
        <f t="shared" si="49"/>
        <v>Young</v>
      </c>
      <c r="L806" t="str">
        <f t="shared" si="50"/>
        <v>Medium</v>
      </c>
      <c r="M806" t="str">
        <f t="shared" si="51"/>
        <v>HighRisk</v>
      </c>
    </row>
    <row r="807" spans="1:13" x14ac:dyDescent="0.3">
      <c r="A807">
        <v>24</v>
      </c>
      <c r="B807" t="s">
        <v>1010</v>
      </c>
      <c r="C807">
        <v>2</v>
      </c>
      <c r="D807" t="s">
        <v>1016</v>
      </c>
      <c r="E807" t="s">
        <v>1012</v>
      </c>
      <c r="F807" t="s">
        <v>1012</v>
      </c>
      <c r="G807" s="5">
        <v>9271</v>
      </c>
      <c r="H807">
        <v>36</v>
      </c>
      <c r="I807" t="s">
        <v>1019</v>
      </c>
      <c r="J807" t="str">
        <f t="shared" si="48"/>
        <v>High Risk</v>
      </c>
      <c r="K807" t="str">
        <f t="shared" si="49"/>
        <v>Young</v>
      </c>
      <c r="L807" t="str">
        <f t="shared" si="50"/>
        <v>Long</v>
      </c>
      <c r="M807" t="str">
        <f t="shared" si="51"/>
        <v>HighRisk</v>
      </c>
    </row>
    <row r="808" spans="1:13" x14ac:dyDescent="0.3">
      <c r="A808">
        <v>26</v>
      </c>
      <c r="B808" t="s">
        <v>1010</v>
      </c>
      <c r="C808">
        <v>1</v>
      </c>
      <c r="D808" t="s">
        <v>1016</v>
      </c>
      <c r="E808" t="s">
        <v>1012</v>
      </c>
      <c r="F808" t="s">
        <v>1013</v>
      </c>
      <c r="G808" s="5">
        <v>590</v>
      </c>
      <c r="H808">
        <v>6</v>
      </c>
      <c r="I808" t="s">
        <v>1023</v>
      </c>
      <c r="J808" t="str">
        <f t="shared" si="48"/>
        <v>Low Risk</v>
      </c>
      <c r="K808" t="str">
        <f t="shared" si="49"/>
        <v>Young</v>
      </c>
      <c r="L808" t="str">
        <f t="shared" si="50"/>
        <v>Short</v>
      </c>
      <c r="M808" t="str">
        <f t="shared" si="51"/>
        <v>Low Risk</v>
      </c>
    </row>
    <row r="809" spans="1:13" x14ac:dyDescent="0.3">
      <c r="A809">
        <v>65</v>
      </c>
      <c r="B809" t="s">
        <v>1010</v>
      </c>
      <c r="C809">
        <v>2</v>
      </c>
      <c r="D809" t="s">
        <v>1016</v>
      </c>
      <c r="E809" t="s">
        <v>1011</v>
      </c>
      <c r="F809" t="s">
        <v>1011</v>
      </c>
      <c r="G809" s="5">
        <v>930</v>
      </c>
      <c r="H809">
        <v>12</v>
      </c>
      <c r="I809" t="s">
        <v>1023</v>
      </c>
      <c r="J809" t="str">
        <f t="shared" si="48"/>
        <v>Low Risk</v>
      </c>
      <c r="K809" t="str">
        <f t="shared" si="49"/>
        <v>Adult</v>
      </c>
      <c r="L809" t="str">
        <f t="shared" si="50"/>
        <v>Medium</v>
      </c>
      <c r="M809" t="str">
        <f t="shared" si="51"/>
        <v>Low Risk</v>
      </c>
    </row>
    <row r="810" spans="1:13" x14ac:dyDescent="0.3">
      <c r="A810">
        <v>55</v>
      </c>
      <c r="B810" t="s">
        <v>1010</v>
      </c>
      <c r="C810">
        <v>3</v>
      </c>
      <c r="D810" t="s">
        <v>1015</v>
      </c>
      <c r="E810" t="s">
        <v>1012</v>
      </c>
      <c r="F810" t="s">
        <v>1013</v>
      </c>
      <c r="G810" s="5">
        <v>9283</v>
      </c>
      <c r="H810">
        <v>42</v>
      </c>
      <c r="I810" t="s">
        <v>1019</v>
      </c>
      <c r="J810" t="str">
        <f t="shared" si="48"/>
        <v>High Risk</v>
      </c>
      <c r="K810" t="str">
        <f t="shared" si="49"/>
        <v>Adult</v>
      </c>
      <c r="L810" t="str">
        <f t="shared" si="50"/>
        <v>Long</v>
      </c>
      <c r="M810" t="str">
        <f t="shared" si="51"/>
        <v>HighRisk</v>
      </c>
    </row>
    <row r="811" spans="1:13" x14ac:dyDescent="0.3">
      <c r="A811">
        <v>26</v>
      </c>
      <c r="B811" t="s">
        <v>1009</v>
      </c>
      <c r="C811">
        <v>0</v>
      </c>
      <c r="D811" t="s">
        <v>1017</v>
      </c>
      <c r="E811" t="s">
        <v>1012</v>
      </c>
      <c r="F811" t="s">
        <v>1013</v>
      </c>
      <c r="G811" s="5">
        <v>1778</v>
      </c>
      <c r="H811">
        <v>15</v>
      </c>
      <c r="I811" t="s">
        <v>1019</v>
      </c>
      <c r="J811" t="str">
        <f t="shared" si="48"/>
        <v>Low Risk</v>
      </c>
      <c r="K811" t="str">
        <f t="shared" si="49"/>
        <v>Young</v>
      </c>
      <c r="L811" t="str">
        <f t="shared" si="50"/>
        <v>Medium</v>
      </c>
      <c r="M811" t="str">
        <f t="shared" si="51"/>
        <v>Low Risk</v>
      </c>
    </row>
    <row r="812" spans="1:13" x14ac:dyDescent="0.3">
      <c r="A812">
        <v>26</v>
      </c>
      <c r="B812" t="s">
        <v>1010</v>
      </c>
      <c r="C812">
        <v>2</v>
      </c>
      <c r="D812" t="s">
        <v>1016</v>
      </c>
      <c r="E812" t="s">
        <v>1012</v>
      </c>
      <c r="F812" t="s">
        <v>1013</v>
      </c>
      <c r="G812" s="5">
        <v>907</v>
      </c>
      <c r="H812">
        <v>8</v>
      </c>
      <c r="I812" t="s">
        <v>1018</v>
      </c>
      <c r="J812" t="str">
        <f t="shared" si="48"/>
        <v>Low Risk</v>
      </c>
      <c r="K812" t="str">
        <f t="shared" si="49"/>
        <v>Young</v>
      </c>
      <c r="L812" t="str">
        <f t="shared" si="50"/>
        <v>Short</v>
      </c>
      <c r="M812" t="str">
        <f t="shared" si="51"/>
        <v>Low Risk</v>
      </c>
    </row>
    <row r="813" spans="1:13" x14ac:dyDescent="0.3">
      <c r="A813">
        <v>28</v>
      </c>
      <c r="B813" t="s">
        <v>1010</v>
      </c>
      <c r="C813">
        <v>1</v>
      </c>
      <c r="D813" t="s">
        <v>1016</v>
      </c>
      <c r="E813" t="s">
        <v>1012</v>
      </c>
      <c r="F813" t="s">
        <v>1013</v>
      </c>
      <c r="G813" s="5">
        <v>484</v>
      </c>
      <c r="H813">
        <v>6</v>
      </c>
      <c r="I813" t="s">
        <v>1023</v>
      </c>
      <c r="J813" t="str">
        <f t="shared" si="48"/>
        <v>Low Risk</v>
      </c>
      <c r="K813" t="str">
        <f t="shared" si="49"/>
        <v>Young</v>
      </c>
      <c r="L813" t="str">
        <f t="shared" si="50"/>
        <v>Short</v>
      </c>
      <c r="M813" t="str">
        <f t="shared" si="51"/>
        <v>Low Risk</v>
      </c>
    </row>
    <row r="814" spans="1:13" x14ac:dyDescent="0.3">
      <c r="A814">
        <v>24</v>
      </c>
      <c r="B814" t="s">
        <v>1010</v>
      </c>
      <c r="C814">
        <v>2</v>
      </c>
      <c r="D814" t="s">
        <v>1016</v>
      </c>
      <c r="E814" t="s">
        <v>1012</v>
      </c>
      <c r="F814" t="s">
        <v>1012</v>
      </c>
      <c r="G814" s="5">
        <v>9629</v>
      </c>
      <c r="H814">
        <v>36</v>
      </c>
      <c r="I814" t="s">
        <v>1019</v>
      </c>
      <c r="J814" t="str">
        <f t="shared" si="48"/>
        <v>High Risk</v>
      </c>
      <c r="K814" t="str">
        <f t="shared" si="49"/>
        <v>Young</v>
      </c>
      <c r="L814" t="str">
        <f t="shared" si="50"/>
        <v>Long</v>
      </c>
      <c r="M814" t="str">
        <f t="shared" si="51"/>
        <v>HighRisk</v>
      </c>
    </row>
    <row r="815" spans="1:13" x14ac:dyDescent="0.3">
      <c r="A815">
        <v>54</v>
      </c>
      <c r="B815" t="s">
        <v>1010</v>
      </c>
      <c r="C815">
        <v>2</v>
      </c>
      <c r="D815" t="s">
        <v>1016</v>
      </c>
      <c r="E815" t="s">
        <v>1012</v>
      </c>
      <c r="F815" t="s">
        <v>1012</v>
      </c>
      <c r="G815" s="5">
        <v>3051</v>
      </c>
      <c r="H815">
        <v>48</v>
      </c>
      <c r="I815" t="s">
        <v>1020</v>
      </c>
      <c r="J815" t="str">
        <f t="shared" si="48"/>
        <v>High Risk</v>
      </c>
      <c r="K815" t="str">
        <f t="shared" si="49"/>
        <v>Adult</v>
      </c>
      <c r="L815" t="str">
        <f t="shared" si="50"/>
        <v>Long</v>
      </c>
      <c r="M815" t="str">
        <f t="shared" si="51"/>
        <v>Medium Risk</v>
      </c>
    </row>
    <row r="816" spans="1:13" x14ac:dyDescent="0.3">
      <c r="A816">
        <v>46</v>
      </c>
      <c r="B816" t="s">
        <v>1010</v>
      </c>
      <c r="C816">
        <v>2</v>
      </c>
      <c r="D816" t="s">
        <v>1015</v>
      </c>
      <c r="E816" t="s">
        <v>1012</v>
      </c>
      <c r="F816" t="s">
        <v>1012</v>
      </c>
      <c r="G816" s="5">
        <v>3931</v>
      </c>
      <c r="H816">
        <v>48</v>
      </c>
      <c r="I816" t="s">
        <v>1019</v>
      </c>
      <c r="J816" t="str">
        <f t="shared" si="48"/>
        <v>High Risk</v>
      </c>
      <c r="K816" t="str">
        <f t="shared" si="49"/>
        <v>Senior</v>
      </c>
      <c r="L816" t="str">
        <f t="shared" si="50"/>
        <v>Long</v>
      </c>
      <c r="M816" t="str">
        <f t="shared" si="51"/>
        <v>Medium Risk</v>
      </c>
    </row>
    <row r="817" spans="1:13" x14ac:dyDescent="0.3">
      <c r="A817">
        <v>54</v>
      </c>
      <c r="B817" t="s">
        <v>1009</v>
      </c>
      <c r="C817">
        <v>2</v>
      </c>
      <c r="D817" t="s">
        <v>1017</v>
      </c>
      <c r="E817" t="s">
        <v>1012</v>
      </c>
      <c r="F817" t="s">
        <v>1013</v>
      </c>
      <c r="G817" s="5">
        <v>7432</v>
      </c>
      <c r="H817">
        <v>36</v>
      </c>
      <c r="I817" t="s">
        <v>1019</v>
      </c>
      <c r="J817" t="str">
        <f t="shared" si="48"/>
        <v>High Risk</v>
      </c>
      <c r="K817" t="str">
        <f t="shared" si="49"/>
        <v>Adult</v>
      </c>
      <c r="L817" t="str">
        <f t="shared" si="50"/>
        <v>Long</v>
      </c>
      <c r="M817" t="str">
        <f t="shared" si="51"/>
        <v>HighRisk</v>
      </c>
    </row>
    <row r="818" spans="1:13" x14ac:dyDescent="0.3">
      <c r="A818">
        <v>62</v>
      </c>
      <c r="B818" t="s">
        <v>1010</v>
      </c>
      <c r="C818">
        <v>2</v>
      </c>
      <c r="D818" t="s">
        <v>1016</v>
      </c>
      <c r="E818" t="s">
        <v>1014</v>
      </c>
      <c r="F818" t="s">
        <v>1011</v>
      </c>
      <c r="G818" s="5">
        <v>1338</v>
      </c>
      <c r="H818">
        <v>6</v>
      </c>
      <c r="I818" t="s">
        <v>1020</v>
      </c>
      <c r="J818" t="str">
        <f t="shared" si="48"/>
        <v>Low Risk</v>
      </c>
      <c r="K818" t="str">
        <f t="shared" si="49"/>
        <v>Adult</v>
      </c>
      <c r="L818" t="str">
        <f t="shared" si="50"/>
        <v>Short</v>
      </c>
      <c r="M818" t="str">
        <f t="shared" si="51"/>
        <v>Low Risk</v>
      </c>
    </row>
    <row r="819" spans="1:13" x14ac:dyDescent="0.3">
      <c r="A819">
        <v>24</v>
      </c>
      <c r="B819" t="s">
        <v>1009</v>
      </c>
      <c r="C819">
        <v>2</v>
      </c>
      <c r="D819" t="s">
        <v>1017</v>
      </c>
      <c r="E819" t="s">
        <v>1012</v>
      </c>
      <c r="F819" t="s">
        <v>1011</v>
      </c>
      <c r="G819" s="5">
        <v>1554</v>
      </c>
      <c r="H819">
        <v>6</v>
      </c>
      <c r="I819" t="s">
        <v>1023</v>
      </c>
      <c r="J819" t="str">
        <f t="shared" si="48"/>
        <v>Low Risk</v>
      </c>
      <c r="K819" t="str">
        <f t="shared" si="49"/>
        <v>Young</v>
      </c>
      <c r="L819" t="str">
        <f t="shared" si="50"/>
        <v>Short</v>
      </c>
      <c r="M819" t="str">
        <f t="shared" si="51"/>
        <v>Low Risk</v>
      </c>
    </row>
    <row r="820" spans="1:13" x14ac:dyDescent="0.3">
      <c r="A820">
        <v>43</v>
      </c>
      <c r="B820" t="s">
        <v>1010</v>
      </c>
      <c r="C820">
        <v>3</v>
      </c>
      <c r="D820" t="s">
        <v>1016</v>
      </c>
      <c r="E820" t="s">
        <v>1012</v>
      </c>
      <c r="F820" t="s">
        <v>1012</v>
      </c>
      <c r="G820" s="5">
        <v>15857</v>
      </c>
      <c r="H820">
        <v>36</v>
      </c>
      <c r="I820" t="s">
        <v>1025</v>
      </c>
      <c r="J820" t="str">
        <f t="shared" si="48"/>
        <v>High Risk</v>
      </c>
      <c r="K820" t="str">
        <f t="shared" si="49"/>
        <v>Senior</v>
      </c>
      <c r="L820" t="str">
        <f t="shared" si="50"/>
        <v>Long</v>
      </c>
      <c r="M820" t="str">
        <f t="shared" si="51"/>
        <v>HighRisk</v>
      </c>
    </row>
    <row r="821" spans="1:13" x14ac:dyDescent="0.3">
      <c r="A821">
        <v>26</v>
      </c>
      <c r="B821" t="s">
        <v>1010</v>
      </c>
      <c r="C821">
        <v>2</v>
      </c>
      <c r="D821" t="s">
        <v>1016</v>
      </c>
      <c r="E821" t="s">
        <v>1012</v>
      </c>
      <c r="F821" t="s">
        <v>1012</v>
      </c>
      <c r="G821" s="5">
        <v>1345</v>
      </c>
      <c r="H821">
        <v>18</v>
      </c>
      <c r="I821" t="s">
        <v>1023</v>
      </c>
      <c r="J821" t="str">
        <f t="shared" si="48"/>
        <v>Low Risk</v>
      </c>
      <c r="K821" t="str">
        <f t="shared" si="49"/>
        <v>Young</v>
      </c>
      <c r="L821" t="str">
        <f t="shared" si="50"/>
        <v>Medium</v>
      </c>
      <c r="M821" t="str">
        <f t="shared" si="51"/>
        <v>Low Risk</v>
      </c>
    </row>
    <row r="822" spans="1:13" x14ac:dyDescent="0.3">
      <c r="A822">
        <v>27</v>
      </c>
      <c r="B822" t="s">
        <v>1010</v>
      </c>
      <c r="C822">
        <v>2</v>
      </c>
      <c r="D822" t="s">
        <v>1016</v>
      </c>
      <c r="E822" t="s">
        <v>1012</v>
      </c>
      <c r="F822" t="s">
        <v>1011</v>
      </c>
      <c r="G822" s="5">
        <v>1101</v>
      </c>
      <c r="H822">
        <v>12</v>
      </c>
      <c r="I822" t="s">
        <v>1019</v>
      </c>
      <c r="J822" t="str">
        <f t="shared" si="48"/>
        <v>Low Risk</v>
      </c>
      <c r="K822" t="str">
        <f t="shared" si="49"/>
        <v>Young</v>
      </c>
      <c r="L822" t="str">
        <f t="shared" si="50"/>
        <v>Medium</v>
      </c>
      <c r="M822" t="str">
        <f t="shared" si="51"/>
        <v>Low Risk</v>
      </c>
    </row>
    <row r="823" spans="1:13" x14ac:dyDescent="0.3">
      <c r="A823">
        <v>24</v>
      </c>
      <c r="B823" t="s">
        <v>1010</v>
      </c>
      <c r="C823">
        <v>2</v>
      </c>
      <c r="D823" t="s">
        <v>1016</v>
      </c>
      <c r="E823" t="s">
        <v>1012</v>
      </c>
      <c r="F823" t="s">
        <v>1008</v>
      </c>
      <c r="G823" s="5">
        <v>3016</v>
      </c>
      <c r="H823">
        <v>12</v>
      </c>
      <c r="I823" t="s">
        <v>1023</v>
      </c>
      <c r="J823" t="str">
        <f t="shared" si="48"/>
        <v>Low Risk</v>
      </c>
      <c r="K823" t="str">
        <f t="shared" si="49"/>
        <v>Young</v>
      </c>
      <c r="L823" t="str">
        <f t="shared" si="50"/>
        <v>Medium</v>
      </c>
      <c r="M823" t="str">
        <f t="shared" si="51"/>
        <v>Medium Risk</v>
      </c>
    </row>
    <row r="824" spans="1:13" x14ac:dyDescent="0.3">
      <c r="A824">
        <v>41</v>
      </c>
      <c r="B824" t="s">
        <v>1010</v>
      </c>
      <c r="C824">
        <v>2</v>
      </c>
      <c r="D824" t="s">
        <v>1016</v>
      </c>
      <c r="E824" t="s">
        <v>1012</v>
      </c>
      <c r="F824" t="s">
        <v>1012</v>
      </c>
      <c r="G824" s="5">
        <v>2712</v>
      </c>
      <c r="H824">
        <v>36</v>
      </c>
      <c r="I824" t="s">
        <v>1022</v>
      </c>
      <c r="J824" t="str">
        <f t="shared" si="48"/>
        <v>Low Risk</v>
      </c>
      <c r="K824" t="str">
        <f t="shared" si="49"/>
        <v>Senior</v>
      </c>
      <c r="L824" t="str">
        <f t="shared" si="50"/>
        <v>Long</v>
      </c>
      <c r="M824" t="str">
        <f t="shared" si="51"/>
        <v>Low Risk</v>
      </c>
    </row>
    <row r="825" spans="1:13" x14ac:dyDescent="0.3">
      <c r="A825">
        <v>47</v>
      </c>
      <c r="B825" t="s">
        <v>1010</v>
      </c>
      <c r="C825">
        <v>1</v>
      </c>
      <c r="D825" t="s">
        <v>1016</v>
      </c>
      <c r="E825" t="s">
        <v>1012</v>
      </c>
      <c r="F825" t="s">
        <v>1012</v>
      </c>
      <c r="G825" s="5">
        <v>731</v>
      </c>
      <c r="H825">
        <v>8</v>
      </c>
      <c r="I825" t="s">
        <v>1019</v>
      </c>
      <c r="J825" t="str">
        <f t="shared" si="48"/>
        <v>Low Risk</v>
      </c>
      <c r="K825" t="str">
        <f t="shared" si="49"/>
        <v>Senior</v>
      </c>
      <c r="L825" t="str">
        <f t="shared" si="50"/>
        <v>Short</v>
      </c>
      <c r="M825" t="str">
        <f t="shared" si="51"/>
        <v>Low Risk</v>
      </c>
    </row>
    <row r="826" spans="1:13" x14ac:dyDescent="0.3">
      <c r="A826">
        <v>35</v>
      </c>
      <c r="B826" t="s">
        <v>1010</v>
      </c>
      <c r="C826">
        <v>3</v>
      </c>
      <c r="D826" t="s">
        <v>1016</v>
      </c>
      <c r="E826" t="s">
        <v>1012</v>
      </c>
      <c r="F826" t="s">
        <v>1011</v>
      </c>
      <c r="G826" s="5">
        <v>3780</v>
      </c>
      <c r="H826">
        <v>18</v>
      </c>
      <c r="I826" t="s">
        <v>1022</v>
      </c>
      <c r="J826" t="str">
        <f t="shared" si="48"/>
        <v>Low Risk</v>
      </c>
      <c r="K826" t="str">
        <f t="shared" si="49"/>
        <v>Senior</v>
      </c>
      <c r="L826" t="str">
        <f t="shared" si="50"/>
        <v>Medium</v>
      </c>
      <c r="M826" t="str">
        <f t="shared" si="51"/>
        <v>Medium Risk</v>
      </c>
    </row>
    <row r="827" spans="1:13" x14ac:dyDescent="0.3">
      <c r="A827">
        <v>30</v>
      </c>
      <c r="B827" t="s">
        <v>1010</v>
      </c>
      <c r="C827">
        <v>2</v>
      </c>
      <c r="D827" t="s">
        <v>1016</v>
      </c>
      <c r="E827" t="s">
        <v>1012</v>
      </c>
      <c r="F827" t="s">
        <v>1012</v>
      </c>
      <c r="G827" s="5">
        <v>1602</v>
      </c>
      <c r="H827">
        <v>21</v>
      </c>
      <c r="I827" t="s">
        <v>1019</v>
      </c>
      <c r="J827" t="str">
        <f t="shared" si="48"/>
        <v>Low Risk</v>
      </c>
      <c r="K827" t="str">
        <f t="shared" si="49"/>
        <v>Senior</v>
      </c>
      <c r="L827" t="str">
        <f t="shared" si="50"/>
        <v>Medium</v>
      </c>
      <c r="M827" t="str">
        <f t="shared" si="51"/>
        <v>Low Risk</v>
      </c>
    </row>
    <row r="828" spans="1:13" x14ac:dyDescent="0.3">
      <c r="A828">
        <v>33</v>
      </c>
      <c r="B828" t="s">
        <v>1009</v>
      </c>
      <c r="C828">
        <v>2</v>
      </c>
      <c r="D828" t="s">
        <v>1017</v>
      </c>
      <c r="E828" t="s">
        <v>1012</v>
      </c>
      <c r="F828" t="s">
        <v>1012</v>
      </c>
      <c r="G828" s="5">
        <v>3966</v>
      </c>
      <c r="H828">
        <v>18</v>
      </c>
      <c r="I828" t="s">
        <v>1019</v>
      </c>
      <c r="J828" t="str">
        <f t="shared" si="48"/>
        <v>Low Risk</v>
      </c>
      <c r="K828" t="str">
        <f t="shared" si="49"/>
        <v>Senior</v>
      </c>
      <c r="L828" t="str">
        <f t="shared" si="50"/>
        <v>Medium</v>
      </c>
      <c r="M828" t="str">
        <f t="shared" si="51"/>
        <v>Medium Risk</v>
      </c>
    </row>
    <row r="829" spans="1:13" x14ac:dyDescent="0.3">
      <c r="A829">
        <v>36</v>
      </c>
      <c r="B829" t="s">
        <v>1010</v>
      </c>
      <c r="C829">
        <v>2</v>
      </c>
      <c r="D829" t="s">
        <v>1016</v>
      </c>
      <c r="E829" t="s">
        <v>1012</v>
      </c>
      <c r="F829" t="s">
        <v>1011</v>
      </c>
      <c r="G829" s="5">
        <v>4165</v>
      </c>
      <c r="H829">
        <v>18</v>
      </c>
      <c r="I829" t="s">
        <v>1018</v>
      </c>
      <c r="J829" t="str">
        <f t="shared" si="48"/>
        <v>Low Risk</v>
      </c>
      <c r="K829" t="str">
        <f t="shared" si="49"/>
        <v>Senior</v>
      </c>
      <c r="L829" t="str">
        <f t="shared" si="50"/>
        <v>Medium</v>
      </c>
      <c r="M829" t="str">
        <f t="shared" si="51"/>
        <v>Medium Risk</v>
      </c>
    </row>
    <row r="830" spans="1:13" x14ac:dyDescent="0.3">
      <c r="A830">
        <v>47</v>
      </c>
      <c r="B830" t="s">
        <v>1010</v>
      </c>
      <c r="C830">
        <v>2</v>
      </c>
      <c r="D830" t="s">
        <v>1015</v>
      </c>
      <c r="E830" t="s">
        <v>1011</v>
      </c>
      <c r="F830" t="s">
        <v>1012</v>
      </c>
      <c r="G830" s="5">
        <v>8335</v>
      </c>
      <c r="H830">
        <v>36</v>
      </c>
      <c r="I830" t="s">
        <v>1019</v>
      </c>
      <c r="J830" t="str">
        <f t="shared" si="48"/>
        <v>High Risk</v>
      </c>
      <c r="K830" t="str">
        <f t="shared" si="49"/>
        <v>Senior</v>
      </c>
      <c r="L830" t="str">
        <f t="shared" si="50"/>
        <v>Long</v>
      </c>
      <c r="M830" t="str">
        <f t="shared" si="51"/>
        <v>HighRisk</v>
      </c>
    </row>
    <row r="831" spans="1:13" x14ac:dyDescent="0.3">
      <c r="A831">
        <v>38</v>
      </c>
      <c r="B831" t="s">
        <v>1010</v>
      </c>
      <c r="C831">
        <v>2</v>
      </c>
      <c r="D831" t="s">
        <v>1015</v>
      </c>
      <c r="E831" t="s">
        <v>1011</v>
      </c>
      <c r="F831" t="s">
        <v>1013</v>
      </c>
      <c r="G831" s="5">
        <v>6681</v>
      </c>
      <c r="H831">
        <v>48</v>
      </c>
      <c r="I831" t="s">
        <v>1018</v>
      </c>
      <c r="J831" t="str">
        <f t="shared" si="48"/>
        <v>High Risk</v>
      </c>
      <c r="K831" t="str">
        <f t="shared" si="49"/>
        <v>Senior</v>
      </c>
      <c r="L831" t="str">
        <f t="shared" si="50"/>
        <v>Long</v>
      </c>
      <c r="M831" t="str">
        <f t="shared" si="51"/>
        <v>HighRisk</v>
      </c>
    </row>
    <row r="832" spans="1:13" x14ac:dyDescent="0.3">
      <c r="A832">
        <v>44</v>
      </c>
      <c r="B832" t="s">
        <v>1010</v>
      </c>
      <c r="C832">
        <v>2</v>
      </c>
      <c r="D832" t="s">
        <v>1016</v>
      </c>
      <c r="E832" t="s">
        <v>1014</v>
      </c>
      <c r="F832" t="s">
        <v>1011</v>
      </c>
      <c r="G832" s="5">
        <v>2375</v>
      </c>
      <c r="H832">
        <v>24</v>
      </c>
      <c r="I832" t="s">
        <v>1018</v>
      </c>
      <c r="J832" t="str">
        <f t="shared" si="48"/>
        <v>Low Risk</v>
      </c>
      <c r="K832" t="str">
        <f t="shared" si="49"/>
        <v>Senior</v>
      </c>
      <c r="L832" t="str">
        <f t="shared" si="50"/>
        <v>Medium</v>
      </c>
      <c r="M832" t="str">
        <f t="shared" si="51"/>
        <v>Low Risk</v>
      </c>
    </row>
    <row r="833" spans="1:13" x14ac:dyDescent="0.3">
      <c r="A833">
        <v>23</v>
      </c>
      <c r="B833" t="s">
        <v>1009</v>
      </c>
      <c r="C833">
        <v>2</v>
      </c>
      <c r="D833" t="s">
        <v>1017</v>
      </c>
      <c r="E833" t="s">
        <v>1012</v>
      </c>
      <c r="F833" t="s">
        <v>1012</v>
      </c>
      <c r="G833" s="5">
        <v>1216</v>
      </c>
      <c r="H833">
        <v>18</v>
      </c>
      <c r="I833" t="s">
        <v>1019</v>
      </c>
      <c r="J833" t="str">
        <f t="shared" si="48"/>
        <v>Low Risk</v>
      </c>
      <c r="K833" t="str">
        <f t="shared" si="49"/>
        <v>Young</v>
      </c>
      <c r="L833" t="str">
        <f t="shared" si="50"/>
        <v>Medium</v>
      </c>
      <c r="M833" t="str">
        <f t="shared" si="51"/>
        <v>Low Risk</v>
      </c>
    </row>
    <row r="834" spans="1:13" x14ac:dyDescent="0.3">
      <c r="A834">
        <v>29</v>
      </c>
      <c r="B834" t="s">
        <v>1010</v>
      </c>
      <c r="C834">
        <v>2</v>
      </c>
      <c r="D834" t="s">
        <v>1017</v>
      </c>
      <c r="E834" t="s">
        <v>1012</v>
      </c>
      <c r="F834" t="s">
        <v>1012</v>
      </c>
      <c r="G834" s="5">
        <v>11816</v>
      </c>
      <c r="H834">
        <v>45</v>
      </c>
      <c r="I834" t="s">
        <v>1018</v>
      </c>
      <c r="J834" t="str">
        <f t="shared" si="48"/>
        <v>High Risk</v>
      </c>
      <c r="K834" t="str">
        <f t="shared" si="49"/>
        <v>Young</v>
      </c>
      <c r="L834" t="str">
        <f t="shared" si="50"/>
        <v>Long</v>
      </c>
      <c r="M834" t="str">
        <f t="shared" si="51"/>
        <v>HighRisk</v>
      </c>
    </row>
    <row r="835" spans="1:13" x14ac:dyDescent="0.3">
      <c r="A835">
        <v>42</v>
      </c>
      <c r="B835" t="s">
        <v>1009</v>
      </c>
      <c r="C835">
        <v>2</v>
      </c>
      <c r="D835" t="s">
        <v>1016</v>
      </c>
      <c r="E835" t="s">
        <v>1011</v>
      </c>
      <c r="F835" t="s">
        <v>1013</v>
      </c>
      <c r="G835" s="5">
        <v>5084</v>
      </c>
      <c r="H835">
        <v>24</v>
      </c>
      <c r="I835" t="s">
        <v>1023</v>
      </c>
      <c r="J835" t="str">
        <f t="shared" ref="J835:J898" si="52">IF(OR(G835&gt;7000,H835&gt;36),"High Risk",
IF(AND(G835&gt;4000,H835&gt;24),"Medium Risk",
"Low Risk"))</f>
        <v>Low Risk</v>
      </c>
      <c r="K835" t="str">
        <f t="shared" ref="K835:K898" si="53">IF(A835&lt;30,"Young",IF(A835&gt;50,"Adult","Senior"))</f>
        <v>Senior</v>
      </c>
      <c r="L835" t="str">
        <f t="shared" ref="L835:L898" si="54">IF(H835&lt;12,"Short",IF(H835&lt;36,"Medium","Long"))</f>
        <v>Medium</v>
      </c>
      <c r="M835" t="str">
        <f t="shared" ref="M835:M898" si="55">IF(G835&lt;3000,"Low Risk",IF(G835&lt;=6000,"Medium Risk","HighRisk"))</f>
        <v>Medium Risk</v>
      </c>
    </row>
    <row r="836" spans="1:13" x14ac:dyDescent="0.3">
      <c r="A836">
        <v>25</v>
      </c>
      <c r="B836" t="s">
        <v>1009</v>
      </c>
      <c r="C836">
        <v>1</v>
      </c>
      <c r="D836" t="s">
        <v>1016</v>
      </c>
      <c r="E836" t="s">
        <v>1012</v>
      </c>
      <c r="F836" t="s">
        <v>1008</v>
      </c>
      <c r="G836" s="5">
        <v>2327</v>
      </c>
      <c r="H836">
        <v>15</v>
      </c>
      <c r="I836" t="s">
        <v>1023</v>
      </c>
      <c r="J836" t="str">
        <f t="shared" si="52"/>
        <v>Low Risk</v>
      </c>
      <c r="K836" t="str">
        <f t="shared" si="53"/>
        <v>Young</v>
      </c>
      <c r="L836" t="str">
        <f t="shared" si="54"/>
        <v>Medium</v>
      </c>
      <c r="M836" t="str">
        <f t="shared" si="55"/>
        <v>Low Risk</v>
      </c>
    </row>
    <row r="837" spans="1:13" x14ac:dyDescent="0.3">
      <c r="A837">
        <v>48</v>
      </c>
      <c r="B837" t="s">
        <v>1010</v>
      </c>
      <c r="C837">
        <v>2</v>
      </c>
      <c r="D837" t="s">
        <v>1016</v>
      </c>
      <c r="E837" t="s">
        <v>1012</v>
      </c>
      <c r="F837" t="s">
        <v>1012</v>
      </c>
      <c r="G837" s="5">
        <v>1082</v>
      </c>
      <c r="H837">
        <v>12</v>
      </c>
      <c r="I837" t="s">
        <v>1019</v>
      </c>
      <c r="J837" t="str">
        <f t="shared" si="52"/>
        <v>Low Risk</v>
      </c>
      <c r="K837" t="str">
        <f t="shared" si="53"/>
        <v>Senior</v>
      </c>
      <c r="L837" t="str">
        <f t="shared" si="54"/>
        <v>Medium</v>
      </c>
      <c r="M837" t="str">
        <f t="shared" si="55"/>
        <v>Low Risk</v>
      </c>
    </row>
    <row r="838" spans="1:13" x14ac:dyDescent="0.3">
      <c r="A838">
        <v>21</v>
      </c>
      <c r="B838" t="s">
        <v>1009</v>
      </c>
      <c r="C838">
        <v>2</v>
      </c>
      <c r="D838" t="s">
        <v>1016</v>
      </c>
      <c r="E838" t="s">
        <v>1011</v>
      </c>
      <c r="F838" t="s">
        <v>1011</v>
      </c>
      <c r="G838" s="5">
        <v>886</v>
      </c>
      <c r="H838">
        <v>12</v>
      </c>
      <c r="I838" t="s">
        <v>1023</v>
      </c>
      <c r="J838" t="str">
        <f t="shared" si="52"/>
        <v>Low Risk</v>
      </c>
      <c r="K838" t="str">
        <f t="shared" si="53"/>
        <v>Young</v>
      </c>
      <c r="L838" t="str">
        <f t="shared" si="54"/>
        <v>Medium</v>
      </c>
      <c r="M838" t="str">
        <f t="shared" si="55"/>
        <v>Low Risk</v>
      </c>
    </row>
    <row r="839" spans="1:13" x14ac:dyDescent="0.3">
      <c r="A839">
        <v>23</v>
      </c>
      <c r="B839" t="s">
        <v>1009</v>
      </c>
      <c r="C839">
        <v>1</v>
      </c>
      <c r="D839" t="s">
        <v>1017</v>
      </c>
      <c r="E839" t="s">
        <v>1012</v>
      </c>
      <c r="F839" t="s">
        <v>1011</v>
      </c>
      <c r="G839" s="5">
        <v>601</v>
      </c>
      <c r="H839">
        <v>4</v>
      </c>
      <c r="I839" t="s">
        <v>1022</v>
      </c>
      <c r="J839" t="str">
        <f t="shared" si="52"/>
        <v>Low Risk</v>
      </c>
      <c r="K839" t="str">
        <f t="shared" si="53"/>
        <v>Young</v>
      </c>
      <c r="L839" t="str">
        <f t="shared" si="54"/>
        <v>Short</v>
      </c>
      <c r="M839" t="str">
        <f t="shared" si="55"/>
        <v>Low Risk</v>
      </c>
    </row>
    <row r="840" spans="1:13" x14ac:dyDescent="0.3">
      <c r="A840">
        <v>63</v>
      </c>
      <c r="B840" t="s">
        <v>1010</v>
      </c>
      <c r="C840">
        <v>2</v>
      </c>
      <c r="D840" t="s">
        <v>1016</v>
      </c>
      <c r="E840" t="s">
        <v>1012</v>
      </c>
      <c r="F840" t="s">
        <v>1012</v>
      </c>
      <c r="G840" s="5">
        <v>2957</v>
      </c>
      <c r="H840">
        <v>24</v>
      </c>
      <c r="I840" t="s">
        <v>1019</v>
      </c>
      <c r="J840" t="str">
        <f t="shared" si="52"/>
        <v>Low Risk</v>
      </c>
      <c r="K840" t="str">
        <f t="shared" si="53"/>
        <v>Adult</v>
      </c>
      <c r="L840" t="str">
        <f t="shared" si="54"/>
        <v>Medium</v>
      </c>
      <c r="M840" t="str">
        <f t="shared" si="55"/>
        <v>Low Risk</v>
      </c>
    </row>
    <row r="841" spans="1:13" x14ac:dyDescent="0.3">
      <c r="A841">
        <v>46</v>
      </c>
      <c r="B841" t="s">
        <v>1010</v>
      </c>
      <c r="C841">
        <v>2</v>
      </c>
      <c r="D841" t="s">
        <v>1016</v>
      </c>
      <c r="E841" t="s">
        <v>1012</v>
      </c>
      <c r="F841" t="s">
        <v>1011</v>
      </c>
      <c r="G841" s="5">
        <v>2611</v>
      </c>
      <c r="H841">
        <v>24</v>
      </c>
      <c r="I841" t="s">
        <v>1023</v>
      </c>
      <c r="J841" t="str">
        <f t="shared" si="52"/>
        <v>Low Risk</v>
      </c>
      <c r="K841" t="str">
        <f t="shared" si="53"/>
        <v>Senior</v>
      </c>
      <c r="L841" t="str">
        <f t="shared" si="54"/>
        <v>Medium</v>
      </c>
      <c r="M841" t="str">
        <f t="shared" si="55"/>
        <v>Low Risk</v>
      </c>
    </row>
    <row r="842" spans="1:13" x14ac:dyDescent="0.3">
      <c r="A842">
        <v>29</v>
      </c>
      <c r="B842" t="s">
        <v>1010</v>
      </c>
      <c r="C842">
        <v>2</v>
      </c>
      <c r="D842" t="s">
        <v>1016</v>
      </c>
      <c r="E842" t="s">
        <v>1012</v>
      </c>
      <c r="F842" t="s">
        <v>1012</v>
      </c>
      <c r="G842" s="5">
        <v>5179</v>
      </c>
      <c r="H842">
        <v>36</v>
      </c>
      <c r="I842" t="s">
        <v>1022</v>
      </c>
      <c r="J842" t="str">
        <f t="shared" si="52"/>
        <v>Medium Risk</v>
      </c>
      <c r="K842" t="str">
        <f t="shared" si="53"/>
        <v>Young</v>
      </c>
      <c r="L842" t="str">
        <f t="shared" si="54"/>
        <v>Long</v>
      </c>
      <c r="M842" t="str">
        <f t="shared" si="55"/>
        <v>Medium Risk</v>
      </c>
    </row>
    <row r="843" spans="1:13" x14ac:dyDescent="0.3">
      <c r="A843">
        <v>28</v>
      </c>
      <c r="B843" t="s">
        <v>1010</v>
      </c>
      <c r="C843">
        <v>1</v>
      </c>
      <c r="D843" t="s">
        <v>1016</v>
      </c>
      <c r="E843" t="s">
        <v>1012</v>
      </c>
      <c r="F843" t="s">
        <v>1011</v>
      </c>
      <c r="G843" s="5">
        <v>2993</v>
      </c>
      <c r="H843">
        <v>21</v>
      </c>
      <c r="I843" t="s">
        <v>1019</v>
      </c>
      <c r="J843" t="str">
        <f t="shared" si="52"/>
        <v>Low Risk</v>
      </c>
      <c r="K843" t="str">
        <f t="shared" si="53"/>
        <v>Young</v>
      </c>
      <c r="L843" t="str">
        <f t="shared" si="54"/>
        <v>Medium</v>
      </c>
      <c r="M843" t="str">
        <f t="shared" si="55"/>
        <v>Low Risk</v>
      </c>
    </row>
    <row r="844" spans="1:13" x14ac:dyDescent="0.3">
      <c r="A844">
        <v>23</v>
      </c>
      <c r="B844" t="s">
        <v>1009</v>
      </c>
      <c r="C844">
        <v>2</v>
      </c>
      <c r="D844" t="s">
        <v>1016</v>
      </c>
      <c r="E844" t="s">
        <v>1012</v>
      </c>
      <c r="F844" t="s">
        <v>1011</v>
      </c>
      <c r="G844" s="5">
        <v>1943</v>
      </c>
      <c r="H844">
        <v>18</v>
      </c>
      <c r="I844" t="s">
        <v>1024</v>
      </c>
      <c r="J844" t="str">
        <f t="shared" si="52"/>
        <v>Low Risk</v>
      </c>
      <c r="K844" t="str">
        <f t="shared" si="53"/>
        <v>Young</v>
      </c>
      <c r="L844" t="str">
        <f t="shared" si="54"/>
        <v>Medium</v>
      </c>
      <c r="M844" t="str">
        <f t="shared" si="55"/>
        <v>Low Risk</v>
      </c>
    </row>
    <row r="845" spans="1:13" x14ac:dyDescent="0.3">
      <c r="A845">
        <v>50</v>
      </c>
      <c r="B845" t="s">
        <v>1010</v>
      </c>
      <c r="C845">
        <v>2</v>
      </c>
      <c r="D845" t="s">
        <v>1016</v>
      </c>
      <c r="E845" t="s">
        <v>1012</v>
      </c>
      <c r="F845" t="s">
        <v>1011</v>
      </c>
      <c r="G845" s="5">
        <v>1559</v>
      </c>
      <c r="H845">
        <v>24</v>
      </c>
      <c r="I845" t="s">
        <v>1018</v>
      </c>
      <c r="J845" t="str">
        <f t="shared" si="52"/>
        <v>Low Risk</v>
      </c>
      <c r="K845" t="str">
        <f t="shared" si="53"/>
        <v>Senior</v>
      </c>
      <c r="L845" t="str">
        <f t="shared" si="54"/>
        <v>Medium</v>
      </c>
      <c r="M845" t="str">
        <f t="shared" si="55"/>
        <v>Low Risk</v>
      </c>
    </row>
    <row r="846" spans="1:13" x14ac:dyDescent="0.3">
      <c r="A846">
        <v>47</v>
      </c>
      <c r="B846" t="s">
        <v>1010</v>
      </c>
      <c r="C846">
        <v>2</v>
      </c>
      <c r="D846" t="s">
        <v>1016</v>
      </c>
      <c r="E846" t="s">
        <v>1012</v>
      </c>
      <c r="F846" t="s">
        <v>1011</v>
      </c>
      <c r="G846" s="5">
        <v>3422</v>
      </c>
      <c r="H846">
        <v>18</v>
      </c>
      <c r="I846" t="s">
        <v>1022</v>
      </c>
      <c r="J846" t="str">
        <f t="shared" si="52"/>
        <v>Low Risk</v>
      </c>
      <c r="K846" t="str">
        <f t="shared" si="53"/>
        <v>Senior</v>
      </c>
      <c r="L846" t="str">
        <f t="shared" si="54"/>
        <v>Medium</v>
      </c>
      <c r="M846" t="str">
        <f t="shared" si="55"/>
        <v>Medium Risk</v>
      </c>
    </row>
    <row r="847" spans="1:13" x14ac:dyDescent="0.3">
      <c r="A847">
        <v>35</v>
      </c>
      <c r="B847" t="s">
        <v>1010</v>
      </c>
      <c r="C847">
        <v>2</v>
      </c>
      <c r="D847" t="s">
        <v>1016</v>
      </c>
      <c r="E847" t="s">
        <v>1011</v>
      </c>
      <c r="F847" t="s">
        <v>1013</v>
      </c>
      <c r="G847" s="5">
        <v>3976</v>
      </c>
      <c r="H847">
        <v>21</v>
      </c>
      <c r="I847" t="s">
        <v>1022</v>
      </c>
      <c r="J847" t="str">
        <f t="shared" si="52"/>
        <v>Low Risk</v>
      </c>
      <c r="K847" t="str">
        <f t="shared" si="53"/>
        <v>Senior</v>
      </c>
      <c r="L847" t="str">
        <f t="shared" si="54"/>
        <v>Medium</v>
      </c>
      <c r="M847" t="str">
        <f t="shared" si="55"/>
        <v>Medium Risk</v>
      </c>
    </row>
    <row r="848" spans="1:13" x14ac:dyDescent="0.3">
      <c r="A848">
        <v>68</v>
      </c>
      <c r="B848" t="s">
        <v>1010</v>
      </c>
      <c r="C848">
        <v>2</v>
      </c>
      <c r="D848" t="s">
        <v>1017</v>
      </c>
      <c r="E848" t="s">
        <v>1011</v>
      </c>
      <c r="F848" t="s">
        <v>1011</v>
      </c>
      <c r="G848" s="5">
        <v>6761</v>
      </c>
      <c r="H848">
        <v>18</v>
      </c>
      <c r="I848" t="s">
        <v>1019</v>
      </c>
      <c r="J848" t="str">
        <f t="shared" si="52"/>
        <v>Low Risk</v>
      </c>
      <c r="K848" t="str">
        <f t="shared" si="53"/>
        <v>Adult</v>
      </c>
      <c r="L848" t="str">
        <f t="shared" si="54"/>
        <v>Medium</v>
      </c>
      <c r="M848" t="str">
        <f t="shared" si="55"/>
        <v>HighRisk</v>
      </c>
    </row>
    <row r="849" spans="1:13" x14ac:dyDescent="0.3">
      <c r="A849">
        <v>28</v>
      </c>
      <c r="B849" t="s">
        <v>1010</v>
      </c>
      <c r="C849">
        <v>2</v>
      </c>
      <c r="D849" t="s">
        <v>1016</v>
      </c>
      <c r="E849" t="s">
        <v>1012</v>
      </c>
      <c r="F849" t="s">
        <v>1011</v>
      </c>
      <c r="G849" s="5">
        <v>1249</v>
      </c>
      <c r="H849">
        <v>24</v>
      </c>
      <c r="I849" t="s">
        <v>1019</v>
      </c>
      <c r="J849" t="str">
        <f t="shared" si="52"/>
        <v>Low Risk</v>
      </c>
      <c r="K849" t="str">
        <f t="shared" si="53"/>
        <v>Young</v>
      </c>
      <c r="L849" t="str">
        <f t="shared" si="54"/>
        <v>Medium</v>
      </c>
      <c r="M849" t="str">
        <f t="shared" si="55"/>
        <v>Low Risk</v>
      </c>
    </row>
    <row r="850" spans="1:13" x14ac:dyDescent="0.3">
      <c r="A850">
        <v>59</v>
      </c>
      <c r="B850" t="s">
        <v>1010</v>
      </c>
      <c r="C850">
        <v>2</v>
      </c>
      <c r="D850" t="s">
        <v>1016</v>
      </c>
      <c r="E850" t="s">
        <v>1012</v>
      </c>
      <c r="F850" t="s">
        <v>1012</v>
      </c>
      <c r="G850" s="5">
        <v>1364</v>
      </c>
      <c r="H850">
        <v>9</v>
      </c>
      <c r="I850" t="s">
        <v>1023</v>
      </c>
      <c r="J850" t="str">
        <f t="shared" si="52"/>
        <v>Low Risk</v>
      </c>
      <c r="K850" t="str">
        <f t="shared" si="53"/>
        <v>Adult</v>
      </c>
      <c r="L850" t="str">
        <f t="shared" si="54"/>
        <v>Short</v>
      </c>
      <c r="M850" t="str">
        <f t="shared" si="55"/>
        <v>Low Risk</v>
      </c>
    </row>
    <row r="851" spans="1:13" x14ac:dyDescent="0.3">
      <c r="A851">
        <v>57</v>
      </c>
      <c r="B851" t="s">
        <v>1010</v>
      </c>
      <c r="C851">
        <v>1</v>
      </c>
      <c r="D851" t="s">
        <v>1016</v>
      </c>
      <c r="E851" t="s">
        <v>1012</v>
      </c>
      <c r="F851" t="s">
        <v>1012</v>
      </c>
      <c r="G851" s="5">
        <v>709</v>
      </c>
      <c r="H851">
        <v>12</v>
      </c>
      <c r="I851" t="s">
        <v>1023</v>
      </c>
      <c r="J851" t="str">
        <f t="shared" si="52"/>
        <v>Low Risk</v>
      </c>
      <c r="K851" t="str">
        <f t="shared" si="53"/>
        <v>Adult</v>
      </c>
      <c r="L851" t="str">
        <f t="shared" si="54"/>
        <v>Medium</v>
      </c>
      <c r="M851" t="str">
        <f t="shared" si="55"/>
        <v>Low Risk</v>
      </c>
    </row>
    <row r="852" spans="1:13" x14ac:dyDescent="0.3">
      <c r="A852">
        <v>33</v>
      </c>
      <c r="B852" t="s">
        <v>1010</v>
      </c>
      <c r="C852">
        <v>2</v>
      </c>
      <c r="D852" t="s">
        <v>1017</v>
      </c>
      <c r="E852" t="s">
        <v>1012</v>
      </c>
      <c r="F852" t="s">
        <v>1012</v>
      </c>
      <c r="G852" s="5">
        <v>2235</v>
      </c>
      <c r="H852">
        <v>20</v>
      </c>
      <c r="I852" t="s">
        <v>1019</v>
      </c>
      <c r="J852" t="str">
        <f t="shared" si="52"/>
        <v>Low Risk</v>
      </c>
      <c r="K852" t="str">
        <f t="shared" si="53"/>
        <v>Senior</v>
      </c>
      <c r="L852" t="str">
        <f t="shared" si="54"/>
        <v>Medium</v>
      </c>
      <c r="M852" t="str">
        <f t="shared" si="55"/>
        <v>Low Risk</v>
      </c>
    </row>
    <row r="853" spans="1:13" x14ac:dyDescent="0.3">
      <c r="A853">
        <v>43</v>
      </c>
      <c r="B853" t="s">
        <v>1010</v>
      </c>
      <c r="C853">
        <v>2</v>
      </c>
      <c r="D853" t="s">
        <v>1016</v>
      </c>
      <c r="E853" t="s">
        <v>1011</v>
      </c>
      <c r="F853" t="s">
        <v>1011</v>
      </c>
      <c r="G853" s="5">
        <v>4042</v>
      </c>
      <c r="H853">
        <v>24</v>
      </c>
      <c r="I853" t="s">
        <v>1019</v>
      </c>
      <c r="J853" t="str">
        <f t="shared" si="52"/>
        <v>Low Risk</v>
      </c>
      <c r="K853" t="str">
        <f t="shared" si="53"/>
        <v>Senior</v>
      </c>
      <c r="L853" t="str">
        <f t="shared" si="54"/>
        <v>Medium</v>
      </c>
      <c r="M853" t="str">
        <f t="shared" si="55"/>
        <v>Medium Risk</v>
      </c>
    </row>
    <row r="854" spans="1:13" x14ac:dyDescent="0.3">
      <c r="A854">
        <v>35</v>
      </c>
      <c r="B854" t="s">
        <v>1010</v>
      </c>
      <c r="C854">
        <v>2</v>
      </c>
      <c r="D854" t="s">
        <v>1015</v>
      </c>
      <c r="E854" t="s">
        <v>1012</v>
      </c>
      <c r="F854" t="s">
        <v>1011</v>
      </c>
      <c r="G854" s="5">
        <v>1471</v>
      </c>
      <c r="H854">
        <v>15</v>
      </c>
      <c r="I854" t="s">
        <v>1023</v>
      </c>
      <c r="J854" t="str">
        <f t="shared" si="52"/>
        <v>Low Risk</v>
      </c>
      <c r="K854" t="str">
        <f t="shared" si="53"/>
        <v>Senior</v>
      </c>
      <c r="L854" t="str">
        <f t="shared" si="54"/>
        <v>Medium</v>
      </c>
      <c r="M854" t="str">
        <f t="shared" si="55"/>
        <v>Low Risk</v>
      </c>
    </row>
    <row r="855" spans="1:13" x14ac:dyDescent="0.3">
      <c r="A855">
        <v>32</v>
      </c>
      <c r="B855" t="s">
        <v>1010</v>
      </c>
      <c r="C855">
        <v>1</v>
      </c>
      <c r="D855" t="s">
        <v>1015</v>
      </c>
      <c r="E855" t="s">
        <v>1012</v>
      </c>
      <c r="F855" t="s">
        <v>1012</v>
      </c>
      <c r="G855" s="5">
        <v>1442</v>
      </c>
      <c r="H855">
        <v>18</v>
      </c>
      <c r="I855" t="s">
        <v>1019</v>
      </c>
      <c r="J855" t="str">
        <f t="shared" si="52"/>
        <v>Low Risk</v>
      </c>
      <c r="K855" t="str">
        <f t="shared" si="53"/>
        <v>Senior</v>
      </c>
      <c r="L855" t="str">
        <f t="shared" si="54"/>
        <v>Medium</v>
      </c>
      <c r="M855" t="str">
        <f t="shared" si="55"/>
        <v>Low Risk</v>
      </c>
    </row>
    <row r="856" spans="1:13" x14ac:dyDescent="0.3">
      <c r="A856">
        <v>45</v>
      </c>
      <c r="B856" t="s">
        <v>1010</v>
      </c>
      <c r="C856">
        <v>2</v>
      </c>
      <c r="D856" t="s">
        <v>1016</v>
      </c>
      <c r="E856" t="s">
        <v>1012</v>
      </c>
      <c r="F856" t="s">
        <v>1011</v>
      </c>
      <c r="G856" s="5">
        <v>10875</v>
      </c>
      <c r="H856">
        <v>36</v>
      </c>
      <c r="I856" t="s">
        <v>1019</v>
      </c>
      <c r="J856" t="str">
        <f t="shared" si="52"/>
        <v>High Risk</v>
      </c>
      <c r="K856" t="str">
        <f t="shared" si="53"/>
        <v>Senior</v>
      </c>
      <c r="L856" t="str">
        <f t="shared" si="54"/>
        <v>Long</v>
      </c>
      <c r="M856" t="str">
        <f t="shared" si="55"/>
        <v>HighRisk</v>
      </c>
    </row>
    <row r="857" spans="1:13" x14ac:dyDescent="0.3">
      <c r="A857">
        <v>33</v>
      </c>
      <c r="B857" t="s">
        <v>1010</v>
      </c>
      <c r="C857">
        <v>2</v>
      </c>
      <c r="D857" t="s">
        <v>1016</v>
      </c>
      <c r="E857" t="s">
        <v>1013</v>
      </c>
      <c r="F857" t="s">
        <v>1011</v>
      </c>
      <c r="G857" s="5">
        <v>1474</v>
      </c>
      <c r="H857">
        <v>24</v>
      </c>
      <c r="I857" t="s">
        <v>1019</v>
      </c>
      <c r="J857" t="str">
        <f t="shared" si="52"/>
        <v>Low Risk</v>
      </c>
      <c r="K857" t="str">
        <f t="shared" si="53"/>
        <v>Senior</v>
      </c>
      <c r="L857" t="str">
        <f t="shared" si="54"/>
        <v>Medium</v>
      </c>
      <c r="M857" t="str">
        <f t="shared" si="55"/>
        <v>Low Risk</v>
      </c>
    </row>
    <row r="858" spans="1:13" x14ac:dyDescent="0.3">
      <c r="A858">
        <v>40</v>
      </c>
      <c r="B858" t="s">
        <v>1009</v>
      </c>
      <c r="C858">
        <v>2</v>
      </c>
      <c r="D858" t="s">
        <v>1016</v>
      </c>
      <c r="E858" t="s">
        <v>1011</v>
      </c>
      <c r="F858" t="s">
        <v>1011</v>
      </c>
      <c r="G858" s="5">
        <v>894</v>
      </c>
      <c r="H858">
        <v>10</v>
      </c>
      <c r="I858" t="s">
        <v>1021</v>
      </c>
      <c r="J858" t="str">
        <f t="shared" si="52"/>
        <v>Low Risk</v>
      </c>
      <c r="K858" t="str">
        <f t="shared" si="53"/>
        <v>Senior</v>
      </c>
      <c r="L858" t="str">
        <f t="shared" si="54"/>
        <v>Short</v>
      </c>
      <c r="M858" t="str">
        <f t="shared" si="55"/>
        <v>Low Risk</v>
      </c>
    </row>
    <row r="859" spans="1:13" x14ac:dyDescent="0.3">
      <c r="A859">
        <v>28</v>
      </c>
      <c r="B859" t="s">
        <v>1010</v>
      </c>
      <c r="C859">
        <v>2</v>
      </c>
      <c r="D859" t="s">
        <v>1015</v>
      </c>
      <c r="E859" t="s">
        <v>1012</v>
      </c>
      <c r="F859" t="s">
        <v>1011</v>
      </c>
      <c r="G859" s="5">
        <v>3343</v>
      </c>
      <c r="H859">
        <v>15</v>
      </c>
      <c r="I859" t="s">
        <v>1022</v>
      </c>
      <c r="J859" t="str">
        <f t="shared" si="52"/>
        <v>Low Risk</v>
      </c>
      <c r="K859" t="str">
        <f t="shared" si="53"/>
        <v>Young</v>
      </c>
      <c r="L859" t="str">
        <f t="shared" si="54"/>
        <v>Medium</v>
      </c>
      <c r="M859" t="str">
        <f t="shared" si="55"/>
        <v>Medium Risk</v>
      </c>
    </row>
    <row r="860" spans="1:13" x14ac:dyDescent="0.3">
      <c r="A860">
        <v>29</v>
      </c>
      <c r="B860" t="s">
        <v>1009</v>
      </c>
      <c r="C860">
        <v>2</v>
      </c>
      <c r="D860" t="s">
        <v>1016</v>
      </c>
      <c r="E860" t="s">
        <v>1012</v>
      </c>
      <c r="F860" t="s">
        <v>1012</v>
      </c>
      <c r="G860" s="5">
        <v>3959</v>
      </c>
      <c r="H860">
        <v>15</v>
      </c>
      <c r="I860" t="s">
        <v>1019</v>
      </c>
      <c r="J860" t="str">
        <f t="shared" si="52"/>
        <v>Low Risk</v>
      </c>
      <c r="K860" t="str">
        <f t="shared" si="53"/>
        <v>Young</v>
      </c>
      <c r="L860" t="str">
        <f t="shared" si="54"/>
        <v>Medium</v>
      </c>
      <c r="M860" t="str">
        <f t="shared" si="55"/>
        <v>Medium Risk</v>
      </c>
    </row>
    <row r="861" spans="1:13" x14ac:dyDescent="0.3">
      <c r="A861">
        <v>26</v>
      </c>
      <c r="B861" t="s">
        <v>1010</v>
      </c>
      <c r="C861">
        <v>2</v>
      </c>
      <c r="D861" t="s">
        <v>1017</v>
      </c>
      <c r="E861" t="s">
        <v>1013</v>
      </c>
      <c r="F861" t="s">
        <v>1011</v>
      </c>
      <c r="G861" s="5">
        <v>3577</v>
      </c>
      <c r="H861">
        <v>9</v>
      </c>
      <c r="I861" t="s">
        <v>1019</v>
      </c>
      <c r="J861" t="str">
        <f t="shared" si="52"/>
        <v>Low Risk</v>
      </c>
      <c r="K861" t="str">
        <f t="shared" si="53"/>
        <v>Young</v>
      </c>
      <c r="L861" t="str">
        <f t="shared" si="54"/>
        <v>Short</v>
      </c>
      <c r="M861" t="str">
        <f t="shared" si="55"/>
        <v>Medium Risk</v>
      </c>
    </row>
    <row r="862" spans="1:13" x14ac:dyDescent="0.3">
      <c r="A862">
        <v>27</v>
      </c>
      <c r="B862" t="s">
        <v>1010</v>
      </c>
      <c r="C862">
        <v>2</v>
      </c>
      <c r="D862" t="s">
        <v>1016</v>
      </c>
      <c r="E862" t="s">
        <v>1008</v>
      </c>
      <c r="F862" t="s">
        <v>1011</v>
      </c>
      <c r="G862" s="5">
        <v>5804</v>
      </c>
      <c r="H862">
        <v>24</v>
      </c>
      <c r="I862" t="s">
        <v>1019</v>
      </c>
      <c r="J862" t="str">
        <f t="shared" si="52"/>
        <v>Low Risk</v>
      </c>
      <c r="K862" t="str">
        <f t="shared" si="53"/>
        <v>Young</v>
      </c>
      <c r="L862" t="str">
        <f t="shared" si="54"/>
        <v>Medium</v>
      </c>
      <c r="M862" t="str">
        <f t="shared" si="55"/>
        <v>Medium Risk</v>
      </c>
    </row>
    <row r="863" spans="1:13" x14ac:dyDescent="0.3">
      <c r="A863">
        <v>28</v>
      </c>
      <c r="B863" t="s">
        <v>1010</v>
      </c>
      <c r="C863">
        <v>2</v>
      </c>
      <c r="D863" t="s">
        <v>1016</v>
      </c>
      <c r="E863" t="s">
        <v>1012</v>
      </c>
      <c r="F863" t="s">
        <v>1011</v>
      </c>
      <c r="G863" s="5">
        <v>2169</v>
      </c>
      <c r="H863">
        <v>18</v>
      </c>
      <c r="I863" t="s">
        <v>1018</v>
      </c>
      <c r="J863" t="str">
        <f t="shared" si="52"/>
        <v>Low Risk</v>
      </c>
      <c r="K863" t="str">
        <f t="shared" si="53"/>
        <v>Young</v>
      </c>
      <c r="L863" t="str">
        <f t="shared" si="54"/>
        <v>Medium</v>
      </c>
      <c r="M863" t="str">
        <f t="shared" si="55"/>
        <v>Low Risk</v>
      </c>
    </row>
    <row r="864" spans="1:13" x14ac:dyDescent="0.3">
      <c r="A864">
        <v>35</v>
      </c>
      <c r="B864" t="s">
        <v>1009</v>
      </c>
      <c r="C864">
        <v>2</v>
      </c>
      <c r="D864" t="s">
        <v>1016</v>
      </c>
      <c r="E864" t="s">
        <v>1012</v>
      </c>
      <c r="F864" t="s">
        <v>1012</v>
      </c>
      <c r="G864" s="5">
        <v>2439</v>
      </c>
      <c r="H864">
        <v>24</v>
      </c>
      <c r="I864" t="s">
        <v>1023</v>
      </c>
      <c r="J864" t="str">
        <f t="shared" si="52"/>
        <v>Low Risk</v>
      </c>
      <c r="K864" t="str">
        <f t="shared" si="53"/>
        <v>Senior</v>
      </c>
      <c r="L864" t="str">
        <f t="shared" si="54"/>
        <v>Medium</v>
      </c>
      <c r="M864" t="str">
        <f t="shared" si="55"/>
        <v>Low Risk</v>
      </c>
    </row>
    <row r="865" spans="1:13" x14ac:dyDescent="0.3">
      <c r="A865">
        <v>32</v>
      </c>
      <c r="B865" t="s">
        <v>1010</v>
      </c>
      <c r="C865">
        <v>1</v>
      </c>
      <c r="D865" t="s">
        <v>1016</v>
      </c>
      <c r="E865" t="s">
        <v>1008</v>
      </c>
      <c r="F865" t="s">
        <v>1011</v>
      </c>
      <c r="G865" s="5">
        <v>4526</v>
      </c>
      <c r="H865">
        <v>27</v>
      </c>
      <c r="I865" t="s">
        <v>1022</v>
      </c>
      <c r="J865" t="str">
        <f t="shared" si="52"/>
        <v>Medium Risk</v>
      </c>
      <c r="K865" t="str">
        <f t="shared" si="53"/>
        <v>Senior</v>
      </c>
      <c r="L865" t="str">
        <f t="shared" si="54"/>
        <v>Medium</v>
      </c>
      <c r="M865" t="str">
        <f t="shared" si="55"/>
        <v>Medium Risk</v>
      </c>
    </row>
    <row r="866" spans="1:13" x14ac:dyDescent="0.3">
      <c r="A866">
        <v>25</v>
      </c>
      <c r="B866" t="s">
        <v>1010</v>
      </c>
      <c r="C866">
        <v>1</v>
      </c>
      <c r="D866" t="s">
        <v>1017</v>
      </c>
      <c r="E866" t="s">
        <v>1012</v>
      </c>
      <c r="F866" t="s">
        <v>1011</v>
      </c>
      <c r="G866" s="5">
        <v>2210</v>
      </c>
      <c r="H866">
        <v>10</v>
      </c>
      <c r="I866" t="s">
        <v>1022</v>
      </c>
      <c r="J866" t="str">
        <f t="shared" si="52"/>
        <v>Low Risk</v>
      </c>
      <c r="K866" t="str">
        <f t="shared" si="53"/>
        <v>Young</v>
      </c>
      <c r="L866" t="str">
        <f t="shared" si="54"/>
        <v>Short</v>
      </c>
      <c r="M866" t="str">
        <f t="shared" si="55"/>
        <v>Low Risk</v>
      </c>
    </row>
    <row r="867" spans="1:13" x14ac:dyDescent="0.3">
      <c r="A867">
        <v>20</v>
      </c>
      <c r="B867" t="s">
        <v>1009</v>
      </c>
      <c r="C867">
        <v>2</v>
      </c>
      <c r="D867" t="s">
        <v>1017</v>
      </c>
      <c r="E867" t="s">
        <v>1014</v>
      </c>
      <c r="F867" t="s">
        <v>1011</v>
      </c>
      <c r="G867" s="5">
        <v>2221</v>
      </c>
      <c r="H867">
        <v>15</v>
      </c>
      <c r="I867" t="s">
        <v>1022</v>
      </c>
      <c r="J867" t="str">
        <f t="shared" si="52"/>
        <v>Low Risk</v>
      </c>
      <c r="K867" t="str">
        <f t="shared" si="53"/>
        <v>Young</v>
      </c>
      <c r="L867" t="str">
        <f t="shared" si="54"/>
        <v>Medium</v>
      </c>
      <c r="M867" t="str">
        <f t="shared" si="55"/>
        <v>Low Risk</v>
      </c>
    </row>
    <row r="868" spans="1:13" x14ac:dyDescent="0.3">
      <c r="A868">
        <v>27</v>
      </c>
      <c r="B868" t="s">
        <v>1009</v>
      </c>
      <c r="C868">
        <v>2</v>
      </c>
      <c r="D868" t="s">
        <v>1016</v>
      </c>
      <c r="E868" t="s">
        <v>1012</v>
      </c>
      <c r="F868" t="s">
        <v>1012</v>
      </c>
      <c r="G868" s="5">
        <v>2389</v>
      </c>
      <c r="H868">
        <v>18</v>
      </c>
      <c r="I868" t="s">
        <v>1023</v>
      </c>
      <c r="J868" t="str">
        <f t="shared" si="52"/>
        <v>Low Risk</v>
      </c>
      <c r="K868" t="str">
        <f t="shared" si="53"/>
        <v>Young</v>
      </c>
      <c r="L868" t="str">
        <f t="shared" si="54"/>
        <v>Medium</v>
      </c>
      <c r="M868" t="str">
        <f t="shared" si="55"/>
        <v>Low Risk</v>
      </c>
    </row>
    <row r="869" spans="1:13" x14ac:dyDescent="0.3">
      <c r="A869">
        <v>42</v>
      </c>
      <c r="B869" t="s">
        <v>1010</v>
      </c>
      <c r="C869">
        <v>2</v>
      </c>
      <c r="D869" t="s">
        <v>1016</v>
      </c>
      <c r="E869" t="s">
        <v>1012</v>
      </c>
      <c r="F869" t="s">
        <v>1011</v>
      </c>
      <c r="G869" s="5">
        <v>3331</v>
      </c>
      <c r="H869">
        <v>12</v>
      </c>
      <c r="I869" t="s">
        <v>1022</v>
      </c>
      <c r="J869" t="str">
        <f t="shared" si="52"/>
        <v>Low Risk</v>
      </c>
      <c r="K869" t="str">
        <f t="shared" si="53"/>
        <v>Senior</v>
      </c>
      <c r="L869" t="str">
        <f t="shared" si="54"/>
        <v>Medium</v>
      </c>
      <c r="M869" t="str">
        <f t="shared" si="55"/>
        <v>Medium Risk</v>
      </c>
    </row>
    <row r="870" spans="1:13" x14ac:dyDescent="0.3">
      <c r="A870">
        <v>37</v>
      </c>
      <c r="B870" t="s">
        <v>1010</v>
      </c>
      <c r="C870">
        <v>2</v>
      </c>
      <c r="D870" t="s">
        <v>1016</v>
      </c>
      <c r="E870" t="s">
        <v>1011</v>
      </c>
      <c r="F870" t="s">
        <v>1011</v>
      </c>
      <c r="G870" s="5">
        <v>7409</v>
      </c>
      <c r="H870">
        <v>36</v>
      </c>
      <c r="I870" t="s">
        <v>1018</v>
      </c>
      <c r="J870" t="str">
        <f t="shared" si="52"/>
        <v>High Risk</v>
      </c>
      <c r="K870" t="str">
        <f t="shared" si="53"/>
        <v>Senior</v>
      </c>
      <c r="L870" t="str">
        <f t="shared" si="54"/>
        <v>Long</v>
      </c>
      <c r="M870" t="str">
        <f t="shared" si="55"/>
        <v>HighRisk</v>
      </c>
    </row>
    <row r="871" spans="1:13" x14ac:dyDescent="0.3">
      <c r="A871">
        <v>24</v>
      </c>
      <c r="B871" t="s">
        <v>1009</v>
      </c>
      <c r="C871">
        <v>2</v>
      </c>
      <c r="D871" t="s">
        <v>1017</v>
      </c>
      <c r="E871" t="s">
        <v>1012</v>
      </c>
      <c r="F871" t="s">
        <v>1012</v>
      </c>
      <c r="G871" s="5">
        <v>652</v>
      </c>
      <c r="H871">
        <v>12</v>
      </c>
      <c r="I871" t="s">
        <v>1022</v>
      </c>
      <c r="J871" t="str">
        <f t="shared" si="52"/>
        <v>Low Risk</v>
      </c>
      <c r="K871" t="str">
        <f t="shared" si="53"/>
        <v>Young</v>
      </c>
      <c r="L871" t="str">
        <f t="shared" si="54"/>
        <v>Medium</v>
      </c>
      <c r="M871" t="str">
        <f t="shared" si="55"/>
        <v>Low Risk</v>
      </c>
    </row>
    <row r="872" spans="1:13" x14ac:dyDescent="0.3">
      <c r="A872">
        <v>40</v>
      </c>
      <c r="B872" t="s">
        <v>1009</v>
      </c>
      <c r="C872">
        <v>2</v>
      </c>
      <c r="D872" t="s">
        <v>1016</v>
      </c>
      <c r="E872" t="s">
        <v>1014</v>
      </c>
      <c r="F872" t="s">
        <v>1011</v>
      </c>
      <c r="G872" s="5">
        <v>7678</v>
      </c>
      <c r="H872">
        <v>36</v>
      </c>
      <c r="I872" t="s">
        <v>1022</v>
      </c>
      <c r="J872" t="str">
        <f t="shared" si="52"/>
        <v>High Risk</v>
      </c>
      <c r="K872" t="str">
        <f t="shared" si="53"/>
        <v>Senior</v>
      </c>
      <c r="L872" t="str">
        <f t="shared" si="54"/>
        <v>Long</v>
      </c>
      <c r="M872" t="str">
        <f t="shared" si="55"/>
        <v>HighRisk</v>
      </c>
    </row>
    <row r="873" spans="1:13" x14ac:dyDescent="0.3">
      <c r="A873">
        <v>46</v>
      </c>
      <c r="B873" t="s">
        <v>1010</v>
      </c>
      <c r="C873">
        <v>2</v>
      </c>
      <c r="D873" t="s">
        <v>1016</v>
      </c>
      <c r="E873" t="s">
        <v>1012</v>
      </c>
      <c r="F873" t="s">
        <v>1008</v>
      </c>
      <c r="G873" s="5">
        <v>1343</v>
      </c>
      <c r="H873">
        <v>6</v>
      </c>
      <c r="I873" t="s">
        <v>1019</v>
      </c>
      <c r="J873" t="str">
        <f t="shared" si="52"/>
        <v>Low Risk</v>
      </c>
      <c r="K873" t="str">
        <f t="shared" si="53"/>
        <v>Senior</v>
      </c>
      <c r="L873" t="str">
        <f t="shared" si="54"/>
        <v>Short</v>
      </c>
      <c r="M873" t="str">
        <f t="shared" si="55"/>
        <v>Low Risk</v>
      </c>
    </row>
    <row r="874" spans="1:13" x14ac:dyDescent="0.3">
      <c r="A874">
        <v>26</v>
      </c>
      <c r="B874" t="s">
        <v>1010</v>
      </c>
      <c r="C874">
        <v>2</v>
      </c>
      <c r="D874" t="s">
        <v>1016</v>
      </c>
      <c r="E874" t="s">
        <v>1013</v>
      </c>
      <c r="F874" t="s">
        <v>1012</v>
      </c>
      <c r="G874" s="5">
        <v>1382</v>
      </c>
      <c r="H874">
        <v>24</v>
      </c>
      <c r="I874" t="s">
        <v>1018</v>
      </c>
      <c r="J874" t="str">
        <f t="shared" si="52"/>
        <v>Low Risk</v>
      </c>
      <c r="K874" t="str">
        <f t="shared" si="53"/>
        <v>Young</v>
      </c>
      <c r="L874" t="str">
        <f t="shared" si="54"/>
        <v>Medium</v>
      </c>
      <c r="M874" t="str">
        <f t="shared" si="55"/>
        <v>Low Risk</v>
      </c>
    </row>
    <row r="875" spans="1:13" x14ac:dyDescent="0.3">
      <c r="A875">
        <v>24</v>
      </c>
      <c r="B875" t="s">
        <v>1009</v>
      </c>
      <c r="C875">
        <v>2</v>
      </c>
      <c r="D875" t="s">
        <v>1016</v>
      </c>
      <c r="E875" t="s">
        <v>1011</v>
      </c>
      <c r="F875" t="s">
        <v>1011</v>
      </c>
      <c r="G875" s="5">
        <v>874</v>
      </c>
      <c r="H875">
        <v>15</v>
      </c>
      <c r="I875" t="s">
        <v>1020</v>
      </c>
      <c r="J875" t="str">
        <f t="shared" si="52"/>
        <v>Low Risk</v>
      </c>
      <c r="K875" t="str">
        <f t="shared" si="53"/>
        <v>Young</v>
      </c>
      <c r="L875" t="str">
        <f t="shared" si="54"/>
        <v>Medium</v>
      </c>
      <c r="M875" t="str">
        <f t="shared" si="55"/>
        <v>Low Risk</v>
      </c>
    </row>
    <row r="876" spans="1:13" x14ac:dyDescent="0.3">
      <c r="A876">
        <v>29</v>
      </c>
      <c r="B876" t="s">
        <v>1010</v>
      </c>
      <c r="C876">
        <v>1</v>
      </c>
      <c r="D876" t="s">
        <v>1016</v>
      </c>
      <c r="E876" t="s">
        <v>1012</v>
      </c>
      <c r="F876" t="s">
        <v>1012</v>
      </c>
      <c r="G876" s="5">
        <v>3590</v>
      </c>
      <c r="H876">
        <v>12</v>
      </c>
      <c r="I876" t="s">
        <v>1022</v>
      </c>
      <c r="J876" t="str">
        <f t="shared" si="52"/>
        <v>Low Risk</v>
      </c>
      <c r="K876" t="str">
        <f t="shared" si="53"/>
        <v>Young</v>
      </c>
      <c r="L876" t="str">
        <f t="shared" si="54"/>
        <v>Medium</v>
      </c>
      <c r="M876" t="str">
        <f t="shared" si="55"/>
        <v>Medium Risk</v>
      </c>
    </row>
    <row r="877" spans="1:13" x14ac:dyDescent="0.3">
      <c r="A877">
        <v>40</v>
      </c>
      <c r="B877" t="s">
        <v>1009</v>
      </c>
      <c r="C877">
        <v>2</v>
      </c>
      <c r="D877" t="s">
        <v>1016</v>
      </c>
      <c r="E877" t="s">
        <v>1008</v>
      </c>
      <c r="F877" t="s">
        <v>1013</v>
      </c>
      <c r="G877" s="5">
        <v>1322</v>
      </c>
      <c r="H877">
        <v>11</v>
      </c>
      <c r="I877" t="s">
        <v>1019</v>
      </c>
      <c r="J877" t="str">
        <f t="shared" si="52"/>
        <v>Low Risk</v>
      </c>
      <c r="K877" t="str">
        <f t="shared" si="53"/>
        <v>Senior</v>
      </c>
      <c r="L877" t="str">
        <f t="shared" si="54"/>
        <v>Short</v>
      </c>
      <c r="M877" t="str">
        <f t="shared" si="55"/>
        <v>Low Risk</v>
      </c>
    </row>
    <row r="878" spans="1:13" x14ac:dyDescent="0.3">
      <c r="A878">
        <v>36</v>
      </c>
      <c r="B878" t="s">
        <v>1010</v>
      </c>
      <c r="C878">
        <v>3</v>
      </c>
      <c r="D878" t="s">
        <v>1015</v>
      </c>
      <c r="E878" t="s">
        <v>1012</v>
      </c>
      <c r="F878" t="s">
        <v>1012</v>
      </c>
      <c r="G878" s="5">
        <v>1940</v>
      </c>
      <c r="H878">
        <v>18</v>
      </c>
      <c r="I878" t="s">
        <v>1023</v>
      </c>
      <c r="J878" t="str">
        <f t="shared" si="52"/>
        <v>Low Risk</v>
      </c>
      <c r="K878" t="str">
        <f t="shared" si="53"/>
        <v>Senior</v>
      </c>
      <c r="L878" t="str">
        <f t="shared" si="54"/>
        <v>Medium</v>
      </c>
      <c r="M878" t="str">
        <f t="shared" si="55"/>
        <v>Low Risk</v>
      </c>
    </row>
    <row r="879" spans="1:13" x14ac:dyDescent="0.3">
      <c r="A879">
        <v>28</v>
      </c>
      <c r="B879" t="s">
        <v>1010</v>
      </c>
      <c r="C879">
        <v>2</v>
      </c>
      <c r="D879" t="s">
        <v>1016</v>
      </c>
      <c r="E879" t="s">
        <v>1012</v>
      </c>
      <c r="F879" t="s">
        <v>1011</v>
      </c>
      <c r="G879" s="5">
        <v>3595</v>
      </c>
      <c r="H879">
        <v>36</v>
      </c>
      <c r="I879" t="s">
        <v>1023</v>
      </c>
      <c r="J879" t="str">
        <f t="shared" si="52"/>
        <v>Low Risk</v>
      </c>
      <c r="K879" t="str">
        <f t="shared" si="53"/>
        <v>Young</v>
      </c>
      <c r="L879" t="str">
        <f t="shared" si="54"/>
        <v>Long</v>
      </c>
      <c r="M879" t="str">
        <f t="shared" si="55"/>
        <v>Medium Risk</v>
      </c>
    </row>
    <row r="880" spans="1:13" x14ac:dyDescent="0.3">
      <c r="A880">
        <v>27</v>
      </c>
      <c r="B880" t="s">
        <v>1010</v>
      </c>
      <c r="C880">
        <v>3</v>
      </c>
      <c r="D880" t="s">
        <v>1015</v>
      </c>
      <c r="E880" t="s">
        <v>1012</v>
      </c>
      <c r="F880" t="s">
        <v>1012</v>
      </c>
      <c r="G880" s="5">
        <v>1422</v>
      </c>
      <c r="H880">
        <v>9</v>
      </c>
      <c r="I880" t="s">
        <v>1019</v>
      </c>
      <c r="J880" t="str">
        <f t="shared" si="52"/>
        <v>Low Risk</v>
      </c>
      <c r="K880" t="str">
        <f t="shared" si="53"/>
        <v>Young</v>
      </c>
      <c r="L880" t="str">
        <f t="shared" si="54"/>
        <v>Short</v>
      </c>
      <c r="M880" t="str">
        <f t="shared" si="55"/>
        <v>Low Risk</v>
      </c>
    </row>
    <row r="881" spans="1:13" x14ac:dyDescent="0.3">
      <c r="A881">
        <v>36</v>
      </c>
      <c r="B881" t="s">
        <v>1010</v>
      </c>
      <c r="C881">
        <v>2</v>
      </c>
      <c r="D881" t="s">
        <v>1016</v>
      </c>
      <c r="E881" t="s">
        <v>1011</v>
      </c>
      <c r="F881" t="s">
        <v>1011</v>
      </c>
      <c r="G881" s="5">
        <v>6742</v>
      </c>
      <c r="H881">
        <v>30</v>
      </c>
      <c r="I881" t="s">
        <v>1023</v>
      </c>
      <c r="J881" t="str">
        <f t="shared" si="52"/>
        <v>Medium Risk</v>
      </c>
      <c r="K881" t="str">
        <f t="shared" si="53"/>
        <v>Senior</v>
      </c>
      <c r="L881" t="str">
        <f t="shared" si="54"/>
        <v>Medium</v>
      </c>
      <c r="M881" t="str">
        <f t="shared" si="55"/>
        <v>HighRisk</v>
      </c>
    </row>
    <row r="882" spans="1:13" x14ac:dyDescent="0.3">
      <c r="A882">
        <v>38</v>
      </c>
      <c r="B882" t="s">
        <v>1010</v>
      </c>
      <c r="C882">
        <v>3</v>
      </c>
      <c r="D882" t="s">
        <v>1016</v>
      </c>
      <c r="E882" t="s">
        <v>1012</v>
      </c>
      <c r="F882" t="s">
        <v>1011</v>
      </c>
      <c r="G882" s="5">
        <v>7814</v>
      </c>
      <c r="H882">
        <v>24</v>
      </c>
      <c r="I882" t="s">
        <v>1019</v>
      </c>
      <c r="J882" t="str">
        <f t="shared" si="52"/>
        <v>High Risk</v>
      </c>
      <c r="K882" t="str">
        <f t="shared" si="53"/>
        <v>Senior</v>
      </c>
      <c r="L882" t="str">
        <f t="shared" si="54"/>
        <v>Medium</v>
      </c>
      <c r="M882" t="str">
        <f t="shared" si="55"/>
        <v>HighRisk</v>
      </c>
    </row>
    <row r="883" spans="1:13" x14ac:dyDescent="0.3">
      <c r="A883">
        <v>48</v>
      </c>
      <c r="B883" t="s">
        <v>1010</v>
      </c>
      <c r="C883">
        <v>2</v>
      </c>
      <c r="D883" t="s">
        <v>1015</v>
      </c>
      <c r="E883" t="s">
        <v>1011</v>
      </c>
      <c r="F883" t="s">
        <v>1011</v>
      </c>
      <c r="G883" s="5">
        <v>9277</v>
      </c>
      <c r="H883">
        <v>24</v>
      </c>
      <c r="I883" t="s">
        <v>1019</v>
      </c>
      <c r="J883" t="str">
        <f t="shared" si="52"/>
        <v>High Risk</v>
      </c>
      <c r="K883" t="str">
        <f t="shared" si="53"/>
        <v>Senior</v>
      </c>
      <c r="L883" t="str">
        <f t="shared" si="54"/>
        <v>Medium</v>
      </c>
      <c r="M883" t="str">
        <f t="shared" si="55"/>
        <v>HighRisk</v>
      </c>
    </row>
    <row r="884" spans="1:13" x14ac:dyDescent="0.3">
      <c r="A884">
        <v>36</v>
      </c>
      <c r="B884" t="s">
        <v>1010</v>
      </c>
      <c r="C884">
        <v>2</v>
      </c>
      <c r="D884" t="s">
        <v>1016</v>
      </c>
      <c r="E884" t="s">
        <v>1011</v>
      </c>
      <c r="F884" t="s">
        <v>1013</v>
      </c>
      <c r="G884" s="5">
        <v>2181</v>
      </c>
      <c r="H884">
        <v>30</v>
      </c>
      <c r="I884" t="s">
        <v>1019</v>
      </c>
      <c r="J884" t="str">
        <f t="shared" si="52"/>
        <v>Low Risk</v>
      </c>
      <c r="K884" t="str">
        <f t="shared" si="53"/>
        <v>Senior</v>
      </c>
      <c r="L884" t="str">
        <f t="shared" si="54"/>
        <v>Medium</v>
      </c>
      <c r="M884" t="str">
        <f t="shared" si="55"/>
        <v>Low Risk</v>
      </c>
    </row>
    <row r="885" spans="1:13" x14ac:dyDescent="0.3">
      <c r="A885">
        <v>65</v>
      </c>
      <c r="B885" t="s">
        <v>1009</v>
      </c>
      <c r="C885">
        <v>0</v>
      </c>
      <c r="D885" t="s">
        <v>1016</v>
      </c>
      <c r="E885" t="s">
        <v>1012</v>
      </c>
      <c r="F885" t="s">
        <v>1011</v>
      </c>
      <c r="G885" s="5">
        <v>1098</v>
      </c>
      <c r="H885">
        <v>18</v>
      </c>
      <c r="I885" t="s">
        <v>1023</v>
      </c>
      <c r="J885" t="str">
        <f t="shared" si="52"/>
        <v>Low Risk</v>
      </c>
      <c r="K885" t="str">
        <f t="shared" si="53"/>
        <v>Adult</v>
      </c>
      <c r="L885" t="str">
        <f t="shared" si="54"/>
        <v>Medium</v>
      </c>
      <c r="M885" t="str">
        <f t="shared" si="55"/>
        <v>Low Risk</v>
      </c>
    </row>
    <row r="886" spans="1:13" x14ac:dyDescent="0.3">
      <c r="A886">
        <v>43</v>
      </c>
      <c r="B886" t="s">
        <v>1010</v>
      </c>
      <c r="C886">
        <v>2</v>
      </c>
      <c r="D886" t="s">
        <v>1016</v>
      </c>
      <c r="E886" t="s">
        <v>1012</v>
      </c>
      <c r="F886" t="s">
        <v>1013</v>
      </c>
      <c r="G886" s="5">
        <v>4057</v>
      </c>
      <c r="H886">
        <v>24</v>
      </c>
      <c r="I886" t="s">
        <v>1022</v>
      </c>
      <c r="J886" t="str">
        <f t="shared" si="52"/>
        <v>Low Risk</v>
      </c>
      <c r="K886" t="str">
        <f t="shared" si="53"/>
        <v>Senior</v>
      </c>
      <c r="L886" t="str">
        <f t="shared" si="54"/>
        <v>Medium</v>
      </c>
      <c r="M886" t="str">
        <f t="shared" si="55"/>
        <v>Medium Risk</v>
      </c>
    </row>
    <row r="887" spans="1:13" x14ac:dyDescent="0.3">
      <c r="A887">
        <v>53</v>
      </c>
      <c r="B887" t="s">
        <v>1009</v>
      </c>
      <c r="C887">
        <v>2</v>
      </c>
      <c r="D887" t="s">
        <v>1016</v>
      </c>
      <c r="E887" t="s">
        <v>1012</v>
      </c>
      <c r="F887" t="s">
        <v>1012</v>
      </c>
      <c r="G887" s="5">
        <v>795</v>
      </c>
      <c r="H887">
        <v>12</v>
      </c>
      <c r="I887" t="s">
        <v>1021</v>
      </c>
      <c r="J887" t="str">
        <f t="shared" si="52"/>
        <v>Low Risk</v>
      </c>
      <c r="K887" t="str">
        <f t="shared" si="53"/>
        <v>Adult</v>
      </c>
      <c r="L887" t="str">
        <f t="shared" si="54"/>
        <v>Medium</v>
      </c>
      <c r="M887" t="str">
        <f t="shared" si="55"/>
        <v>Low Risk</v>
      </c>
    </row>
    <row r="888" spans="1:13" x14ac:dyDescent="0.3">
      <c r="A888">
        <v>34</v>
      </c>
      <c r="B888" t="s">
        <v>1010</v>
      </c>
      <c r="C888">
        <v>2</v>
      </c>
      <c r="D888" t="s">
        <v>1016</v>
      </c>
      <c r="E888" t="s">
        <v>1011</v>
      </c>
      <c r="F888" t="s">
        <v>1013</v>
      </c>
      <c r="G888" s="5">
        <v>2825</v>
      </c>
      <c r="H888">
        <v>24</v>
      </c>
      <c r="I888" t="s">
        <v>1018</v>
      </c>
      <c r="J888" t="str">
        <f t="shared" si="52"/>
        <v>Low Risk</v>
      </c>
      <c r="K888" t="str">
        <f t="shared" si="53"/>
        <v>Senior</v>
      </c>
      <c r="L888" t="str">
        <f t="shared" si="54"/>
        <v>Medium</v>
      </c>
      <c r="M888" t="str">
        <f t="shared" si="55"/>
        <v>Low Risk</v>
      </c>
    </row>
    <row r="889" spans="1:13" x14ac:dyDescent="0.3">
      <c r="A889">
        <v>23</v>
      </c>
      <c r="B889" t="s">
        <v>1010</v>
      </c>
      <c r="C889">
        <v>2</v>
      </c>
      <c r="D889" t="s">
        <v>1016</v>
      </c>
      <c r="E889" t="s">
        <v>1012</v>
      </c>
      <c r="F889" t="s">
        <v>1013</v>
      </c>
      <c r="G889" s="5">
        <v>15672</v>
      </c>
      <c r="H889">
        <v>48</v>
      </c>
      <c r="I889" t="s">
        <v>1018</v>
      </c>
      <c r="J889" t="str">
        <f t="shared" si="52"/>
        <v>High Risk</v>
      </c>
      <c r="K889" t="str">
        <f t="shared" si="53"/>
        <v>Young</v>
      </c>
      <c r="L889" t="str">
        <f t="shared" si="54"/>
        <v>Long</v>
      </c>
      <c r="M889" t="str">
        <f t="shared" si="55"/>
        <v>HighRisk</v>
      </c>
    </row>
    <row r="890" spans="1:13" x14ac:dyDescent="0.3">
      <c r="A890">
        <v>34</v>
      </c>
      <c r="B890" t="s">
        <v>1010</v>
      </c>
      <c r="C890">
        <v>3</v>
      </c>
      <c r="D890" t="s">
        <v>1016</v>
      </c>
      <c r="E890" t="s">
        <v>1012</v>
      </c>
      <c r="F890" t="s">
        <v>1011</v>
      </c>
      <c r="G890" s="5">
        <v>6614</v>
      </c>
      <c r="H890">
        <v>36</v>
      </c>
      <c r="I890" t="s">
        <v>1019</v>
      </c>
      <c r="J890" t="str">
        <f t="shared" si="52"/>
        <v>Medium Risk</v>
      </c>
      <c r="K890" t="str">
        <f t="shared" si="53"/>
        <v>Senior</v>
      </c>
      <c r="L890" t="str">
        <f t="shared" si="54"/>
        <v>Long</v>
      </c>
      <c r="M890" t="str">
        <f t="shared" si="55"/>
        <v>HighRisk</v>
      </c>
    </row>
    <row r="891" spans="1:13" x14ac:dyDescent="0.3">
      <c r="A891">
        <v>40</v>
      </c>
      <c r="B891" t="s">
        <v>1010</v>
      </c>
      <c r="C891">
        <v>2</v>
      </c>
      <c r="D891" t="s">
        <v>1017</v>
      </c>
      <c r="E891" t="s">
        <v>1011</v>
      </c>
      <c r="F891" t="s">
        <v>1011</v>
      </c>
      <c r="G891" s="5">
        <v>7824</v>
      </c>
      <c r="H891">
        <v>28</v>
      </c>
      <c r="I891" t="s">
        <v>1019</v>
      </c>
      <c r="J891" t="str">
        <f t="shared" si="52"/>
        <v>High Risk</v>
      </c>
      <c r="K891" t="str">
        <f t="shared" si="53"/>
        <v>Senior</v>
      </c>
      <c r="L891" t="str">
        <f t="shared" si="54"/>
        <v>Medium</v>
      </c>
      <c r="M891" t="str">
        <f t="shared" si="55"/>
        <v>HighRisk</v>
      </c>
    </row>
    <row r="892" spans="1:13" x14ac:dyDescent="0.3">
      <c r="A892">
        <v>43</v>
      </c>
      <c r="B892" t="s">
        <v>1010</v>
      </c>
      <c r="C892">
        <v>3</v>
      </c>
      <c r="D892" t="s">
        <v>1016</v>
      </c>
      <c r="E892" t="s">
        <v>1012</v>
      </c>
      <c r="F892" t="s">
        <v>1012</v>
      </c>
      <c r="G892" s="5">
        <v>2442</v>
      </c>
      <c r="H892">
        <v>27</v>
      </c>
      <c r="I892" t="s">
        <v>1018</v>
      </c>
      <c r="J892" t="str">
        <f t="shared" si="52"/>
        <v>Low Risk</v>
      </c>
      <c r="K892" t="str">
        <f t="shared" si="53"/>
        <v>Senior</v>
      </c>
      <c r="L892" t="str">
        <f t="shared" si="54"/>
        <v>Medium</v>
      </c>
      <c r="M892" t="str">
        <f t="shared" si="55"/>
        <v>Low Risk</v>
      </c>
    </row>
    <row r="893" spans="1:13" x14ac:dyDescent="0.3">
      <c r="A893">
        <v>46</v>
      </c>
      <c r="B893" t="s">
        <v>1010</v>
      </c>
      <c r="C893">
        <v>2</v>
      </c>
      <c r="D893" t="s">
        <v>1016</v>
      </c>
      <c r="E893" t="s">
        <v>1012</v>
      </c>
      <c r="F893" t="s">
        <v>1011</v>
      </c>
      <c r="G893" s="5">
        <v>1829</v>
      </c>
      <c r="H893">
        <v>15</v>
      </c>
      <c r="I893" t="s">
        <v>1023</v>
      </c>
      <c r="J893" t="str">
        <f t="shared" si="52"/>
        <v>Low Risk</v>
      </c>
      <c r="K893" t="str">
        <f t="shared" si="53"/>
        <v>Senior</v>
      </c>
      <c r="L893" t="str">
        <f t="shared" si="54"/>
        <v>Medium</v>
      </c>
      <c r="M893" t="str">
        <f t="shared" si="55"/>
        <v>Low Risk</v>
      </c>
    </row>
    <row r="894" spans="1:13" x14ac:dyDescent="0.3">
      <c r="A894">
        <v>38</v>
      </c>
      <c r="B894" t="s">
        <v>1010</v>
      </c>
      <c r="C894">
        <v>1</v>
      </c>
      <c r="D894" t="s">
        <v>1016</v>
      </c>
      <c r="E894" t="s">
        <v>1012</v>
      </c>
      <c r="F894" t="s">
        <v>1012</v>
      </c>
      <c r="G894" s="5">
        <v>2171</v>
      </c>
      <c r="H894">
        <v>12</v>
      </c>
      <c r="I894" t="s">
        <v>1019</v>
      </c>
      <c r="J894" t="str">
        <f t="shared" si="52"/>
        <v>Low Risk</v>
      </c>
      <c r="K894" t="str">
        <f t="shared" si="53"/>
        <v>Senior</v>
      </c>
      <c r="L894" t="str">
        <f t="shared" si="54"/>
        <v>Medium</v>
      </c>
      <c r="M894" t="str">
        <f t="shared" si="55"/>
        <v>Low Risk</v>
      </c>
    </row>
    <row r="895" spans="1:13" x14ac:dyDescent="0.3">
      <c r="A895">
        <v>34</v>
      </c>
      <c r="B895" t="s">
        <v>1010</v>
      </c>
      <c r="C895">
        <v>2</v>
      </c>
      <c r="D895" t="s">
        <v>1016</v>
      </c>
      <c r="E895" t="s">
        <v>1012</v>
      </c>
      <c r="F895" t="s">
        <v>1013</v>
      </c>
      <c r="G895" s="5">
        <v>5800</v>
      </c>
      <c r="H895">
        <v>36</v>
      </c>
      <c r="I895" t="s">
        <v>1019</v>
      </c>
      <c r="J895" t="str">
        <f t="shared" si="52"/>
        <v>Medium Risk</v>
      </c>
      <c r="K895" t="str">
        <f t="shared" si="53"/>
        <v>Senior</v>
      </c>
      <c r="L895" t="str">
        <f t="shared" si="54"/>
        <v>Long</v>
      </c>
      <c r="M895" t="str">
        <f t="shared" si="55"/>
        <v>Medium Risk</v>
      </c>
    </row>
    <row r="896" spans="1:13" x14ac:dyDescent="0.3">
      <c r="A896">
        <v>29</v>
      </c>
      <c r="B896" t="s">
        <v>1010</v>
      </c>
      <c r="C896">
        <v>2</v>
      </c>
      <c r="D896" t="s">
        <v>1016</v>
      </c>
      <c r="E896" t="s">
        <v>1011</v>
      </c>
      <c r="F896" t="s">
        <v>1011</v>
      </c>
      <c r="G896" s="5">
        <v>1169</v>
      </c>
      <c r="H896">
        <v>18</v>
      </c>
      <c r="I896" t="s">
        <v>1023</v>
      </c>
      <c r="J896" t="str">
        <f t="shared" si="52"/>
        <v>Low Risk</v>
      </c>
      <c r="K896" t="str">
        <f t="shared" si="53"/>
        <v>Young</v>
      </c>
      <c r="L896" t="str">
        <f t="shared" si="54"/>
        <v>Medium</v>
      </c>
      <c r="M896" t="str">
        <f t="shared" si="55"/>
        <v>Low Risk</v>
      </c>
    </row>
    <row r="897" spans="1:13" x14ac:dyDescent="0.3">
      <c r="A897">
        <v>31</v>
      </c>
      <c r="B897" t="s">
        <v>1010</v>
      </c>
      <c r="C897">
        <v>3</v>
      </c>
      <c r="D897" t="s">
        <v>1016</v>
      </c>
      <c r="E897" t="s">
        <v>1011</v>
      </c>
      <c r="F897" t="s">
        <v>1011</v>
      </c>
      <c r="G897" s="5">
        <v>8947</v>
      </c>
      <c r="H897">
        <v>36</v>
      </c>
      <c r="I897" t="s">
        <v>1019</v>
      </c>
      <c r="J897" t="str">
        <f t="shared" si="52"/>
        <v>High Risk</v>
      </c>
      <c r="K897" t="str">
        <f t="shared" si="53"/>
        <v>Senior</v>
      </c>
      <c r="L897" t="str">
        <f t="shared" si="54"/>
        <v>Long</v>
      </c>
      <c r="M897" t="str">
        <f t="shared" si="55"/>
        <v>HighRisk</v>
      </c>
    </row>
    <row r="898" spans="1:13" x14ac:dyDescent="0.3">
      <c r="A898">
        <v>28</v>
      </c>
      <c r="B898" t="s">
        <v>1009</v>
      </c>
      <c r="C898">
        <v>3</v>
      </c>
      <c r="D898" t="s">
        <v>1017</v>
      </c>
      <c r="E898" t="s">
        <v>1012</v>
      </c>
      <c r="F898" t="s">
        <v>1012</v>
      </c>
      <c r="G898" s="5">
        <v>2606</v>
      </c>
      <c r="H898">
        <v>21</v>
      </c>
      <c r="I898" t="s">
        <v>1023</v>
      </c>
      <c r="J898" t="str">
        <f t="shared" si="52"/>
        <v>Low Risk</v>
      </c>
      <c r="K898" t="str">
        <f t="shared" si="53"/>
        <v>Young</v>
      </c>
      <c r="L898" t="str">
        <f t="shared" si="54"/>
        <v>Medium</v>
      </c>
      <c r="M898" t="str">
        <f t="shared" si="55"/>
        <v>Low Risk</v>
      </c>
    </row>
    <row r="899" spans="1:13" x14ac:dyDescent="0.3">
      <c r="A899">
        <v>35</v>
      </c>
      <c r="B899" t="s">
        <v>1009</v>
      </c>
      <c r="C899">
        <v>2</v>
      </c>
      <c r="D899" t="s">
        <v>1016</v>
      </c>
      <c r="E899" t="s">
        <v>1008</v>
      </c>
      <c r="F899" t="s">
        <v>1011</v>
      </c>
      <c r="G899" s="5">
        <v>1592</v>
      </c>
      <c r="H899">
        <v>12</v>
      </c>
      <c r="I899" t="s">
        <v>1022</v>
      </c>
      <c r="J899" t="str">
        <f t="shared" ref="J899:J962" si="56">IF(OR(G899&gt;7000,H899&gt;36),"High Risk",
IF(AND(G899&gt;4000,H899&gt;24),"Medium Risk",
"Low Risk"))</f>
        <v>Low Risk</v>
      </c>
      <c r="K899" t="str">
        <f t="shared" ref="K899:K962" si="57">IF(A899&lt;30,"Young",IF(A899&gt;50,"Adult","Senior"))</f>
        <v>Senior</v>
      </c>
      <c r="L899" t="str">
        <f t="shared" ref="L899:L962" si="58">IF(H899&lt;12,"Short",IF(H899&lt;36,"Medium","Long"))</f>
        <v>Medium</v>
      </c>
      <c r="M899" t="str">
        <f t="shared" ref="M899:M962" si="59">IF(G899&lt;3000,"Low Risk",IF(G899&lt;=6000,"Medium Risk","HighRisk"))</f>
        <v>Low Risk</v>
      </c>
    </row>
    <row r="900" spans="1:13" x14ac:dyDescent="0.3">
      <c r="A900">
        <v>33</v>
      </c>
      <c r="B900" t="s">
        <v>1009</v>
      </c>
      <c r="C900">
        <v>1</v>
      </c>
      <c r="D900" t="s">
        <v>1017</v>
      </c>
      <c r="E900" t="s">
        <v>1011</v>
      </c>
      <c r="F900" t="s">
        <v>1011</v>
      </c>
      <c r="G900" s="5">
        <v>2186</v>
      </c>
      <c r="H900">
        <v>15</v>
      </c>
      <c r="I900" t="s">
        <v>1022</v>
      </c>
      <c r="J900" t="str">
        <f t="shared" si="56"/>
        <v>Low Risk</v>
      </c>
      <c r="K900" t="str">
        <f t="shared" si="57"/>
        <v>Senior</v>
      </c>
      <c r="L900" t="str">
        <f t="shared" si="58"/>
        <v>Medium</v>
      </c>
      <c r="M900" t="str">
        <f t="shared" si="59"/>
        <v>Low Risk</v>
      </c>
    </row>
    <row r="901" spans="1:13" x14ac:dyDescent="0.3">
      <c r="A901">
        <v>42</v>
      </c>
      <c r="B901" t="s">
        <v>1010</v>
      </c>
      <c r="C901">
        <v>2</v>
      </c>
      <c r="D901" t="s">
        <v>1016</v>
      </c>
      <c r="E901" t="s">
        <v>1012</v>
      </c>
      <c r="F901" t="s">
        <v>1012</v>
      </c>
      <c r="G901" s="5">
        <v>4153</v>
      </c>
      <c r="H901">
        <v>18</v>
      </c>
      <c r="I901" t="s">
        <v>1022</v>
      </c>
      <c r="J901" t="str">
        <f t="shared" si="56"/>
        <v>Low Risk</v>
      </c>
      <c r="K901" t="str">
        <f t="shared" si="57"/>
        <v>Senior</v>
      </c>
      <c r="L901" t="str">
        <f t="shared" si="58"/>
        <v>Medium</v>
      </c>
      <c r="M901" t="str">
        <f t="shared" si="59"/>
        <v>Medium Risk</v>
      </c>
    </row>
    <row r="902" spans="1:13" x14ac:dyDescent="0.3">
      <c r="A902">
        <v>43</v>
      </c>
      <c r="B902" t="s">
        <v>1010</v>
      </c>
      <c r="C902">
        <v>2</v>
      </c>
      <c r="D902" t="s">
        <v>1017</v>
      </c>
      <c r="E902" t="s">
        <v>1012</v>
      </c>
      <c r="F902" t="s">
        <v>1012</v>
      </c>
      <c r="G902" s="5">
        <v>2625</v>
      </c>
      <c r="H902">
        <v>16</v>
      </c>
      <c r="I902" t="s">
        <v>1019</v>
      </c>
      <c r="J902" t="str">
        <f t="shared" si="56"/>
        <v>Low Risk</v>
      </c>
      <c r="K902" t="str">
        <f t="shared" si="57"/>
        <v>Senior</v>
      </c>
      <c r="L902" t="str">
        <f t="shared" si="58"/>
        <v>Medium</v>
      </c>
      <c r="M902" t="str">
        <f t="shared" si="59"/>
        <v>Low Risk</v>
      </c>
    </row>
    <row r="903" spans="1:13" x14ac:dyDescent="0.3">
      <c r="A903">
        <v>44</v>
      </c>
      <c r="B903" t="s">
        <v>1010</v>
      </c>
      <c r="C903">
        <v>2</v>
      </c>
      <c r="D903" t="s">
        <v>1016</v>
      </c>
      <c r="E903" t="s">
        <v>1011</v>
      </c>
      <c r="F903" t="s">
        <v>1011</v>
      </c>
      <c r="G903" s="5">
        <v>3485</v>
      </c>
      <c r="H903">
        <v>20</v>
      </c>
      <c r="I903" t="s">
        <v>1019</v>
      </c>
      <c r="J903" t="str">
        <f t="shared" si="56"/>
        <v>Low Risk</v>
      </c>
      <c r="K903" t="str">
        <f t="shared" si="57"/>
        <v>Senior</v>
      </c>
      <c r="L903" t="str">
        <f t="shared" si="58"/>
        <v>Medium</v>
      </c>
      <c r="M903" t="str">
        <f t="shared" si="59"/>
        <v>Medium Risk</v>
      </c>
    </row>
    <row r="904" spans="1:13" x14ac:dyDescent="0.3">
      <c r="A904">
        <v>42</v>
      </c>
      <c r="B904" t="s">
        <v>1010</v>
      </c>
      <c r="C904">
        <v>2</v>
      </c>
      <c r="D904" t="s">
        <v>1015</v>
      </c>
      <c r="E904" t="s">
        <v>1011</v>
      </c>
      <c r="F904" t="s">
        <v>1011</v>
      </c>
      <c r="G904" s="5">
        <v>10477</v>
      </c>
      <c r="H904">
        <v>36</v>
      </c>
      <c r="I904" t="s">
        <v>1019</v>
      </c>
      <c r="J904" t="str">
        <f t="shared" si="56"/>
        <v>High Risk</v>
      </c>
      <c r="K904" t="str">
        <f t="shared" si="57"/>
        <v>Senior</v>
      </c>
      <c r="L904" t="str">
        <f t="shared" si="58"/>
        <v>Long</v>
      </c>
      <c r="M904" t="str">
        <f t="shared" si="59"/>
        <v>HighRisk</v>
      </c>
    </row>
    <row r="905" spans="1:13" x14ac:dyDescent="0.3">
      <c r="A905">
        <v>40</v>
      </c>
      <c r="B905" t="s">
        <v>1010</v>
      </c>
      <c r="C905">
        <v>2</v>
      </c>
      <c r="D905" t="s">
        <v>1017</v>
      </c>
      <c r="E905" t="s">
        <v>1011</v>
      </c>
      <c r="F905" t="s">
        <v>1011</v>
      </c>
      <c r="G905" s="5">
        <v>1386</v>
      </c>
      <c r="H905">
        <v>15</v>
      </c>
      <c r="I905" t="s">
        <v>1023</v>
      </c>
      <c r="J905" t="str">
        <f t="shared" si="56"/>
        <v>Low Risk</v>
      </c>
      <c r="K905" t="str">
        <f t="shared" si="57"/>
        <v>Senior</v>
      </c>
      <c r="L905" t="str">
        <f t="shared" si="58"/>
        <v>Medium</v>
      </c>
      <c r="M905" t="str">
        <f t="shared" si="59"/>
        <v>Low Risk</v>
      </c>
    </row>
    <row r="906" spans="1:13" x14ac:dyDescent="0.3">
      <c r="A906">
        <v>36</v>
      </c>
      <c r="B906" t="s">
        <v>1010</v>
      </c>
      <c r="C906">
        <v>3</v>
      </c>
      <c r="D906" t="s">
        <v>1016</v>
      </c>
      <c r="E906" t="s">
        <v>1012</v>
      </c>
      <c r="F906" t="s">
        <v>1011</v>
      </c>
      <c r="G906" s="5">
        <v>1278</v>
      </c>
      <c r="H906">
        <v>24</v>
      </c>
      <c r="I906" t="s">
        <v>1023</v>
      </c>
      <c r="J906" t="str">
        <f t="shared" si="56"/>
        <v>Low Risk</v>
      </c>
      <c r="K906" t="str">
        <f t="shared" si="57"/>
        <v>Senior</v>
      </c>
      <c r="L906" t="str">
        <f t="shared" si="58"/>
        <v>Medium</v>
      </c>
      <c r="M906" t="str">
        <f t="shared" si="59"/>
        <v>Low Risk</v>
      </c>
    </row>
    <row r="907" spans="1:13" x14ac:dyDescent="0.3">
      <c r="A907">
        <v>20</v>
      </c>
      <c r="B907" t="s">
        <v>1010</v>
      </c>
      <c r="C907">
        <v>3</v>
      </c>
      <c r="D907" t="s">
        <v>1017</v>
      </c>
      <c r="E907" t="s">
        <v>1012</v>
      </c>
      <c r="F907" t="s">
        <v>1012</v>
      </c>
      <c r="G907" s="5">
        <v>1107</v>
      </c>
      <c r="H907">
        <v>12</v>
      </c>
      <c r="I907" t="s">
        <v>1023</v>
      </c>
      <c r="J907" t="str">
        <f t="shared" si="56"/>
        <v>Low Risk</v>
      </c>
      <c r="K907" t="str">
        <f t="shared" si="57"/>
        <v>Young</v>
      </c>
      <c r="L907" t="str">
        <f t="shared" si="58"/>
        <v>Medium</v>
      </c>
      <c r="M907" t="str">
        <f t="shared" si="59"/>
        <v>Low Risk</v>
      </c>
    </row>
    <row r="908" spans="1:13" x14ac:dyDescent="0.3">
      <c r="A908">
        <v>24</v>
      </c>
      <c r="B908" t="s">
        <v>1010</v>
      </c>
      <c r="C908">
        <v>1</v>
      </c>
      <c r="D908" t="s">
        <v>1016</v>
      </c>
      <c r="E908" t="s">
        <v>1011</v>
      </c>
      <c r="F908" t="s">
        <v>1012</v>
      </c>
      <c r="G908" s="5">
        <v>3763</v>
      </c>
      <c r="H908">
        <v>21</v>
      </c>
      <c r="I908" t="s">
        <v>1019</v>
      </c>
      <c r="J908" t="str">
        <f t="shared" si="56"/>
        <v>Low Risk</v>
      </c>
      <c r="K908" t="str">
        <f t="shared" si="57"/>
        <v>Young</v>
      </c>
      <c r="L908" t="str">
        <f t="shared" si="58"/>
        <v>Medium</v>
      </c>
      <c r="M908" t="str">
        <f t="shared" si="59"/>
        <v>Medium Risk</v>
      </c>
    </row>
    <row r="909" spans="1:13" x14ac:dyDescent="0.3">
      <c r="A909">
        <v>27</v>
      </c>
      <c r="B909" t="s">
        <v>1010</v>
      </c>
      <c r="C909">
        <v>2</v>
      </c>
      <c r="D909" t="s">
        <v>1016</v>
      </c>
      <c r="E909" t="s">
        <v>1011</v>
      </c>
      <c r="F909" t="s">
        <v>1013</v>
      </c>
      <c r="G909" s="5">
        <v>3711</v>
      </c>
      <c r="H909">
        <v>36</v>
      </c>
      <c r="I909" t="s">
        <v>1021</v>
      </c>
      <c r="J909" t="str">
        <f t="shared" si="56"/>
        <v>Low Risk</v>
      </c>
      <c r="K909" t="str">
        <f t="shared" si="57"/>
        <v>Young</v>
      </c>
      <c r="L909" t="str">
        <f t="shared" si="58"/>
        <v>Long</v>
      </c>
      <c r="M909" t="str">
        <f t="shared" si="59"/>
        <v>Medium Risk</v>
      </c>
    </row>
    <row r="910" spans="1:13" x14ac:dyDescent="0.3">
      <c r="A910">
        <v>46</v>
      </c>
      <c r="B910" t="s">
        <v>1009</v>
      </c>
      <c r="C910">
        <v>1</v>
      </c>
      <c r="D910" t="s">
        <v>1016</v>
      </c>
      <c r="E910" t="s">
        <v>1012</v>
      </c>
      <c r="F910" t="s">
        <v>1011</v>
      </c>
      <c r="G910" s="5">
        <v>3594</v>
      </c>
      <c r="H910">
        <v>15</v>
      </c>
      <c r="I910" t="s">
        <v>1019</v>
      </c>
      <c r="J910" t="str">
        <f t="shared" si="56"/>
        <v>Low Risk</v>
      </c>
      <c r="K910" t="str">
        <f t="shared" si="57"/>
        <v>Senior</v>
      </c>
      <c r="L910" t="str">
        <f t="shared" si="58"/>
        <v>Medium</v>
      </c>
      <c r="M910" t="str">
        <f t="shared" si="59"/>
        <v>Medium Risk</v>
      </c>
    </row>
    <row r="911" spans="1:13" x14ac:dyDescent="0.3">
      <c r="A911">
        <v>33</v>
      </c>
      <c r="B911" t="s">
        <v>1009</v>
      </c>
      <c r="C911">
        <v>1</v>
      </c>
      <c r="D911" t="s">
        <v>1016</v>
      </c>
      <c r="E911" t="s">
        <v>1011</v>
      </c>
      <c r="F911" t="s">
        <v>1013</v>
      </c>
      <c r="G911" s="5">
        <v>3195</v>
      </c>
      <c r="H911">
        <v>9</v>
      </c>
      <c r="I911" t="s">
        <v>1019</v>
      </c>
      <c r="J911" t="str">
        <f t="shared" si="56"/>
        <v>Low Risk</v>
      </c>
      <c r="K911" t="str">
        <f t="shared" si="57"/>
        <v>Senior</v>
      </c>
      <c r="L911" t="str">
        <f t="shared" si="58"/>
        <v>Short</v>
      </c>
      <c r="M911" t="str">
        <f t="shared" si="59"/>
        <v>Medium Risk</v>
      </c>
    </row>
    <row r="912" spans="1:13" x14ac:dyDescent="0.3">
      <c r="A912">
        <v>34</v>
      </c>
      <c r="B912" t="s">
        <v>1009</v>
      </c>
      <c r="C912">
        <v>2</v>
      </c>
      <c r="D912" t="s">
        <v>1016</v>
      </c>
      <c r="E912" t="s">
        <v>1012</v>
      </c>
      <c r="F912" t="s">
        <v>1011</v>
      </c>
      <c r="G912" s="5">
        <v>4454</v>
      </c>
      <c r="H912">
        <v>36</v>
      </c>
      <c r="I912" t="s">
        <v>1023</v>
      </c>
      <c r="J912" t="str">
        <f t="shared" si="56"/>
        <v>Medium Risk</v>
      </c>
      <c r="K912" t="str">
        <f t="shared" si="57"/>
        <v>Senior</v>
      </c>
      <c r="L912" t="str">
        <f t="shared" si="58"/>
        <v>Long</v>
      </c>
      <c r="M912" t="str">
        <f t="shared" si="59"/>
        <v>Medium Risk</v>
      </c>
    </row>
    <row r="913" spans="1:13" x14ac:dyDescent="0.3">
      <c r="A913">
        <v>25</v>
      </c>
      <c r="B913" t="s">
        <v>1009</v>
      </c>
      <c r="C913">
        <v>1</v>
      </c>
      <c r="D913" t="s">
        <v>1016</v>
      </c>
      <c r="E913" t="s">
        <v>1012</v>
      </c>
      <c r="F913" t="s">
        <v>1013</v>
      </c>
      <c r="G913" s="5">
        <v>4736</v>
      </c>
      <c r="H913">
        <v>24</v>
      </c>
      <c r="I913" t="s">
        <v>1022</v>
      </c>
      <c r="J913" t="str">
        <f t="shared" si="56"/>
        <v>Low Risk</v>
      </c>
      <c r="K913" t="str">
        <f t="shared" si="57"/>
        <v>Young</v>
      </c>
      <c r="L913" t="str">
        <f t="shared" si="58"/>
        <v>Medium</v>
      </c>
      <c r="M913" t="str">
        <f t="shared" si="59"/>
        <v>Medium Risk</v>
      </c>
    </row>
    <row r="914" spans="1:13" x14ac:dyDescent="0.3">
      <c r="A914">
        <v>25</v>
      </c>
      <c r="B914" t="s">
        <v>1009</v>
      </c>
      <c r="C914">
        <v>2</v>
      </c>
      <c r="D914" t="s">
        <v>1016</v>
      </c>
      <c r="E914" t="s">
        <v>1011</v>
      </c>
      <c r="F914" t="s">
        <v>1013</v>
      </c>
      <c r="G914" s="5">
        <v>2991</v>
      </c>
      <c r="H914">
        <v>30</v>
      </c>
      <c r="I914" t="s">
        <v>1023</v>
      </c>
      <c r="J914" t="str">
        <f t="shared" si="56"/>
        <v>Low Risk</v>
      </c>
      <c r="K914" t="str">
        <f t="shared" si="57"/>
        <v>Young</v>
      </c>
      <c r="L914" t="str">
        <f t="shared" si="58"/>
        <v>Medium</v>
      </c>
      <c r="M914" t="str">
        <f t="shared" si="59"/>
        <v>Low Risk</v>
      </c>
    </row>
    <row r="915" spans="1:13" x14ac:dyDescent="0.3">
      <c r="A915">
        <v>28</v>
      </c>
      <c r="B915" t="s">
        <v>1010</v>
      </c>
      <c r="C915">
        <v>2</v>
      </c>
      <c r="D915" t="s">
        <v>1016</v>
      </c>
      <c r="E915" t="s">
        <v>1008</v>
      </c>
      <c r="F915" t="s">
        <v>1011</v>
      </c>
      <c r="G915" s="5">
        <v>2142</v>
      </c>
      <c r="H915">
        <v>11</v>
      </c>
      <c r="I915" t="s">
        <v>1018</v>
      </c>
      <c r="J915" t="str">
        <f t="shared" si="56"/>
        <v>Low Risk</v>
      </c>
      <c r="K915" t="str">
        <f t="shared" si="57"/>
        <v>Young</v>
      </c>
      <c r="L915" t="str">
        <f t="shared" si="58"/>
        <v>Short</v>
      </c>
      <c r="M915" t="str">
        <f t="shared" si="59"/>
        <v>Low Risk</v>
      </c>
    </row>
    <row r="916" spans="1:13" x14ac:dyDescent="0.3">
      <c r="A916">
        <v>31</v>
      </c>
      <c r="B916" t="s">
        <v>1010</v>
      </c>
      <c r="C916">
        <v>2</v>
      </c>
      <c r="D916" t="s">
        <v>1017</v>
      </c>
      <c r="E916" t="s">
        <v>1012</v>
      </c>
      <c r="F916" t="s">
        <v>1012</v>
      </c>
      <c r="G916" s="5">
        <v>3161</v>
      </c>
      <c r="H916">
        <v>24</v>
      </c>
      <c r="I916" t="s">
        <v>1018</v>
      </c>
      <c r="J916" t="str">
        <f t="shared" si="56"/>
        <v>Low Risk</v>
      </c>
      <c r="K916" t="str">
        <f t="shared" si="57"/>
        <v>Senior</v>
      </c>
      <c r="L916" t="str">
        <f t="shared" si="58"/>
        <v>Medium</v>
      </c>
      <c r="M916" t="str">
        <f t="shared" si="59"/>
        <v>Medium Risk</v>
      </c>
    </row>
    <row r="917" spans="1:13" x14ac:dyDescent="0.3">
      <c r="A917">
        <v>32</v>
      </c>
      <c r="B917" t="s">
        <v>1009</v>
      </c>
      <c r="C917">
        <v>3</v>
      </c>
      <c r="D917" t="s">
        <v>1016</v>
      </c>
      <c r="E917" t="s">
        <v>1012</v>
      </c>
      <c r="F917" t="s">
        <v>1013</v>
      </c>
      <c r="G917" s="5">
        <v>18424</v>
      </c>
      <c r="H917">
        <v>48</v>
      </c>
      <c r="I917" t="s">
        <v>1025</v>
      </c>
      <c r="J917" t="str">
        <f t="shared" si="56"/>
        <v>High Risk</v>
      </c>
      <c r="K917" t="str">
        <f t="shared" si="57"/>
        <v>Senior</v>
      </c>
      <c r="L917" t="str">
        <f t="shared" si="58"/>
        <v>Long</v>
      </c>
      <c r="M917" t="str">
        <f t="shared" si="59"/>
        <v>HighRisk</v>
      </c>
    </row>
    <row r="918" spans="1:13" x14ac:dyDescent="0.3">
      <c r="A918">
        <v>32</v>
      </c>
      <c r="B918" t="s">
        <v>1010</v>
      </c>
      <c r="C918">
        <v>2</v>
      </c>
      <c r="D918" t="s">
        <v>1016</v>
      </c>
      <c r="E918" t="s">
        <v>1013</v>
      </c>
      <c r="F918" t="s">
        <v>1011</v>
      </c>
      <c r="G918" s="5">
        <v>2848</v>
      </c>
      <c r="H918">
        <v>10</v>
      </c>
      <c r="I918" t="s">
        <v>1019</v>
      </c>
      <c r="J918" t="str">
        <f t="shared" si="56"/>
        <v>Low Risk</v>
      </c>
      <c r="K918" t="str">
        <f t="shared" si="57"/>
        <v>Senior</v>
      </c>
      <c r="L918" t="str">
        <f t="shared" si="58"/>
        <v>Short</v>
      </c>
      <c r="M918" t="str">
        <f t="shared" si="59"/>
        <v>Low Risk</v>
      </c>
    </row>
    <row r="919" spans="1:13" x14ac:dyDescent="0.3">
      <c r="A919">
        <v>68</v>
      </c>
      <c r="B919" t="s">
        <v>1010</v>
      </c>
      <c r="C919">
        <v>3</v>
      </c>
      <c r="D919" t="s">
        <v>1016</v>
      </c>
      <c r="E919" t="s">
        <v>1012</v>
      </c>
      <c r="F919" t="s">
        <v>1012</v>
      </c>
      <c r="G919" s="5">
        <v>14896</v>
      </c>
      <c r="H919">
        <v>6</v>
      </c>
      <c r="I919" t="s">
        <v>1019</v>
      </c>
      <c r="J919" t="str">
        <f t="shared" si="56"/>
        <v>High Risk</v>
      </c>
      <c r="K919" t="str">
        <f t="shared" si="57"/>
        <v>Adult</v>
      </c>
      <c r="L919" t="str">
        <f t="shared" si="58"/>
        <v>Short</v>
      </c>
      <c r="M919" t="str">
        <f t="shared" si="59"/>
        <v>HighRisk</v>
      </c>
    </row>
    <row r="920" spans="1:13" x14ac:dyDescent="0.3">
      <c r="A920">
        <v>33</v>
      </c>
      <c r="B920" t="s">
        <v>1010</v>
      </c>
      <c r="C920">
        <v>2</v>
      </c>
      <c r="D920" t="s">
        <v>1016</v>
      </c>
      <c r="E920" t="s">
        <v>1013</v>
      </c>
      <c r="F920" t="s">
        <v>1012</v>
      </c>
      <c r="G920" s="5">
        <v>2359</v>
      </c>
      <c r="H920">
        <v>24</v>
      </c>
      <c r="I920" t="s">
        <v>1022</v>
      </c>
      <c r="J920" t="str">
        <f t="shared" si="56"/>
        <v>Low Risk</v>
      </c>
      <c r="K920" t="str">
        <f t="shared" si="57"/>
        <v>Senior</v>
      </c>
      <c r="L920" t="str">
        <f t="shared" si="58"/>
        <v>Medium</v>
      </c>
      <c r="M920" t="str">
        <f t="shared" si="59"/>
        <v>Low Risk</v>
      </c>
    </row>
    <row r="921" spans="1:13" x14ac:dyDescent="0.3">
      <c r="A921">
        <v>39</v>
      </c>
      <c r="B921" t="s">
        <v>1010</v>
      </c>
      <c r="C921">
        <v>3</v>
      </c>
      <c r="D921" t="s">
        <v>1017</v>
      </c>
      <c r="E921" t="s">
        <v>1012</v>
      </c>
      <c r="F921" t="s">
        <v>1012</v>
      </c>
      <c r="G921" s="5">
        <v>3345</v>
      </c>
      <c r="H921">
        <v>24</v>
      </c>
      <c r="I921" t="s">
        <v>1022</v>
      </c>
      <c r="J921" t="str">
        <f t="shared" si="56"/>
        <v>Low Risk</v>
      </c>
      <c r="K921" t="str">
        <f t="shared" si="57"/>
        <v>Senior</v>
      </c>
      <c r="L921" t="str">
        <f t="shared" si="58"/>
        <v>Medium</v>
      </c>
      <c r="M921" t="str">
        <f t="shared" si="59"/>
        <v>Medium Risk</v>
      </c>
    </row>
    <row r="922" spans="1:13" x14ac:dyDescent="0.3">
      <c r="A922">
        <v>28</v>
      </c>
      <c r="B922" t="s">
        <v>1009</v>
      </c>
      <c r="C922">
        <v>2</v>
      </c>
      <c r="D922" t="s">
        <v>1016</v>
      </c>
      <c r="E922" t="s">
        <v>1012</v>
      </c>
      <c r="F922" t="s">
        <v>1011</v>
      </c>
      <c r="G922" s="5">
        <v>1817</v>
      </c>
      <c r="H922">
        <v>18</v>
      </c>
      <c r="I922" t="s">
        <v>1022</v>
      </c>
      <c r="J922" t="str">
        <f t="shared" si="56"/>
        <v>Low Risk</v>
      </c>
      <c r="K922" t="str">
        <f t="shared" si="57"/>
        <v>Young</v>
      </c>
      <c r="L922" t="str">
        <f t="shared" si="58"/>
        <v>Medium</v>
      </c>
      <c r="M922" t="str">
        <f t="shared" si="59"/>
        <v>Low Risk</v>
      </c>
    </row>
    <row r="923" spans="1:13" x14ac:dyDescent="0.3">
      <c r="A923">
        <v>37</v>
      </c>
      <c r="B923" t="s">
        <v>1010</v>
      </c>
      <c r="C923">
        <v>3</v>
      </c>
      <c r="D923" t="s">
        <v>1016</v>
      </c>
      <c r="E923" t="s">
        <v>1014</v>
      </c>
      <c r="F923" t="s">
        <v>1011</v>
      </c>
      <c r="G923" s="5">
        <v>12749</v>
      </c>
      <c r="H923">
        <v>48</v>
      </c>
      <c r="I923" t="s">
        <v>1023</v>
      </c>
      <c r="J923" t="str">
        <f t="shared" si="56"/>
        <v>High Risk</v>
      </c>
      <c r="K923" t="str">
        <f t="shared" si="57"/>
        <v>Senior</v>
      </c>
      <c r="L923" t="str">
        <f t="shared" si="58"/>
        <v>Long</v>
      </c>
      <c r="M923" t="str">
        <f t="shared" si="59"/>
        <v>HighRisk</v>
      </c>
    </row>
    <row r="924" spans="1:13" x14ac:dyDescent="0.3">
      <c r="A924">
        <v>22</v>
      </c>
      <c r="B924" t="s">
        <v>1009</v>
      </c>
      <c r="C924">
        <v>2</v>
      </c>
      <c r="D924" t="s">
        <v>1017</v>
      </c>
      <c r="E924" t="s">
        <v>1012</v>
      </c>
      <c r="F924" t="s">
        <v>1012</v>
      </c>
      <c r="G924" s="5">
        <v>1366</v>
      </c>
      <c r="H924">
        <v>9</v>
      </c>
      <c r="I924" t="s">
        <v>1023</v>
      </c>
      <c r="J924" t="str">
        <f t="shared" si="56"/>
        <v>Low Risk</v>
      </c>
      <c r="K924" t="str">
        <f t="shared" si="57"/>
        <v>Young</v>
      </c>
      <c r="L924" t="str">
        <f t="shared" si="58"/>
        <v>Short</v>
      </c>
      <c r="M924" t="str">
        <f t="shared" si="59"/>
        <v>Low Risk</v>
      </c>
    </row>
    <row r="925" spans="1:13" x14ac:dyDescent="0.3">
      <c r="A925">
        <v>30</v>
      </c>
      <c r="B925" t="s">
        <v>1010</v>
      </c>
      <c r="C925">
        <v>2</v>
      </c>
      <c r="D925" t="s">
        <v>1017</v>
      </c>
      <c r="E925" t="s">
        <v>1012</v>
      </c>
      <c r="F925" t="s">
        <v>1013</v>
      </c>
      <c r="G925" s="5">
        <v>2002</v>
      </c>
      <c r="H925">
        <v>12</v>
      </c>
      <c r="I925" t="s">
        <v>1019</v>
      </c>
      <c r="J925" t="str">
        <f t="shared" si="56"/>
        <v>Low Risk</v>
      </c>
      <c r="K925" t="str">
        <f t="shared" si="57"/>
        <v>Senior</v>
      </c>
      <c r="L925" t="str">
        <f t="shared" si="58"/>
        <v>Medium</v>
      </c>
      <c r="M925" t="str">
        <f t="shared" si="59"/>
        <v>Low Risk</v>
      </c>
    </row>
    <row r="926" spans="1:13" x14ac:dyDescent="0.3">
      <c r="A926">
        <v>55</v>
      </c>
      <c r="B926" t="s">
        <v>1010</v>
      </c>
      <c r="C926">
        <v>2</v>
      </c>
      <c r="D926" t="s">
        <v>1016</v>
      </c>
      <c r="E926" t="s">
        <v>1012</v>
      </c>
      <c r="F926" t="s">
        <v>1012</v>
      </c>
      <c r="G926" s="5">
        <v>6872</v>
      </c>
      <c r="H926">
        <v>24</v>
      </c>
      <c r="I926" t="s">
        <v>1022</v>
      </c>
      <c r="J926" t="str">
        <f t="shared" si="56"/>
        <v>Low Risk</v>
      </c>
      <c r="K926" t="str">
        <f t="shared" si="57"/>
        <v>Adult</v>
      </c>
      <c r="L926" t="str">
        <f t="shared" si="58"/>
        <v>Medium</v>
      </c>
      <c r="M926" t="str">
        <f t="shared" si="59"/>
        <v>HighRisk</v>
      </c>
    </row>
    <row r="927" spans="1:13" x14ac:dyDescent="0.3">
      <c r="A927">
        <v>46</v>
      </c>
      <c r="B927" t="s">
        <v>1010</v>
      </c>
      <c r="C927">
        <v>2</v>
      </c>
      <c r="D927" t="s">
        <v>1016</v>
      </c>
      <c r="E927" t="s">
        <v>1012</v>
      </c>
      <c r="F927" t="s">
        <v>1012</v>
      </c>
      <c r="G927" s="5">
        <v>697</v>
      </c>
      <c r="H927">
        <v>12</v>
      </c>
      <c r="I927" t="s">
        <v>1019</v>
      </c>
      <c r="J927" t="str">
        <f t="shared" si="56"/>
        <v>Low Risk</v>
      </c>
      <c r="K927" t="str">
        <f t="shared" si="57"/>
        <v>Senior</v>
      </c>
      <c r="L927" t="str">
        <f t="shared" si="58"/>
        <v>Medium</v>
      </c>
      <c r="M927" t="str">
        <f t="shared" si="59"/>
        <v>Low Risk</v>
      </c>
    </row>
    <row r="928" spans="1:13" x14ac:dyDescent="0.3">
      <c r="A928">
        <v>21</v>
      </c>
      <c r="B928" t="s">
        <v>1009</v>
      </c>
      <c r="C928">
        <v>2</v>
      </c>
      <c r="D928" t="s">
        <v>1017</v>
      </c>
      <c r="E928" t="s">
        <v>1012</v>
      </c>
      <c r="F928" t="s">
        <v>1012</v>
      </c>
      <c r="G928" s="5">
        <v>1049</v>
      </c>
      <c r="H928">
        <v>18</v>
      </c>
      <c r="I928" t="s">
        <v>1022</v>
      </c>
      <c r="J928" t="str">
        <f t="shared" si="56"/>
        <v>Low Risk</v>
      </c>
      <c r="K928" t="str">
        <f t="shared" si="57"/>
        <v>Young</v>
      </c>
      <c r="L928" t="str">
        <f t="shared" si="58"/>
        <v>Medium</v>
      </c>
      <c r="M928" t="str">
        <f t="shared" si="59"/>
        <v>Low Risk</v>
      </c>
    </row>
    <row r="929" spans="1:13" x14ac:dyDescent="0.3">
      <c r="A929">
        <v>39</v>
      </c>
      <c r="B929" t="s">
        <v>1010</v>
      </c>
      <c r="C929">
        <v>2</v>
      </c>
      <c r="D929" t="s">
        <v>1015</v>
      </c>
      <c r="E929" t="s">
        <v>1012</v>
      </c>
      <c r="F929" t="s">
        <v>1012</v>
      </c>
      <c r="G929" s="5">
        <v>10297</v>
      </c>
      <c r="H929">
        <v>48</v>
      </c>
      <c r="I929" t="s">
        <v>1019</v>
      </c>
      <c r="J929" t="str">
        <f t="shared" si="56"/>
        <v>High Risk</v>
      </c>
      <c r="K929" t="str">
        <f t="shared" si="57"/>
        <v>Senior</v>
      </c>
      <c r="L929" t="str">
        <f t="shared" si="58"/>
        <v>Long</v>
      </c>
      <c r="M929" t="str">
        <f t="shared" si="59"/>
        <v>HighRisk</v>
      </c>
    </row>
    <row r="930" spans="1:13" x14ac:dyDescent="0.3">
      <c r="A930">
        <v>58</v>
      </c>
      <c r="B930" t="s">
        <v>1010</v>
      </c>
      <c r="C930">
        <v>2</v>
      </c>
      <c r="D930" t="s">
        <v>1016</v>
      </c>
      <c r="E930" t="s">
        <v>1011</v>
      </c>
      <c r="F930" t="s">
        <v>1011</v>
      </c>
      <c r="G930" s="5">
        <v>1867</v>
      </c>
      <c r="H930">
        <v>30</v>
      </c>
      <c r="I930" t="s">
        <v>1023</v>
      </c>
      <c r="J930" t="str">
        <f t="shared" si="56"/>
        <v>Low Risk</v>
      </c>
      <c r="K930" t="str">
        <f t="shared" si="57"/>
        <v>Adult</v>
      </c>
      <c r="L930" t="str">
        <f t="shared" si="58"/>
        <v>Medium</v>
      </c>
      <c r="M930" t="str">
        <f t="shared" si="59"/>
        <v>Low Risk</v>
      </c>
    </row>
    <row r="931" spans="1:13" x14ac:dyDescent="0.3">
      <c r="A931">
        <v>43</v>
      </c>
      <c r="B931" t="s">
        <v>1010</v>
      </c>
      <c r="C931">
        <v>1</v>
      </c>
      <c r="D931" t="s">
        <v>1016</v>
      </c>
      <c r="E931" t="s">
        <v>1012</v>
      </c>
      <c r="F931" t="s">
        <v>1012</v>
      </c>
      <c r="G931" s="5">
        <v>1344</v>
      </c>
      <c r="H931">
        <v>12</v>
      </c>
      <c r="I931" t="s">
        <v>1019</v>
      </c>
      <c r="J931" t="str">
        <f t="shared" si="56"/>
        <v>Low Risk</v>
      </c>
      <c r="K931" t="str">
        <f t="shared" si="57"/>
        <v>Senior</v>
      </c>
      <c r="L931" t="str">
        <f t="shared" si="58"/>
        <v>Medium</v>
      </c>
      <c r="M931" t="str">
        <f t="shared" si="59"/>
        <v>Low Risk</v>
      </c>
    </row>
    <row r="932" spans="1:13" x14ac:dyDescent="0.3">
      <c r="A932">
        <v>24</v>
      </c>
      <c r="B932" t="s">
        <v>1010</v>
      </c>
      <c r="C932">
        <v>1</v>
      </c>
      <c r="D932" t="s">
        <v>1016</v>
      </c>
      <c r="E932" t="s">
        <v>1012</v>
      </c>
      <c r="F932" t="s">
        <v>1012</v>
      </c>
      <c r="G932" s="5">
        <v>1747</v>
      </c>
      <c r="H932">
        <v>24</v>
      </c>
      <c r="I932" t="s">
        <v>1022</v>
      </c>
      <c r="J932" t="str">
        <f t="shared" si="56"/>
        <v>Low Risk</v>
      </c>
      <c r="K932" t="str">
        <f t="shared" si="57"/>
        <v>Young</v>
      </c>
      <c r="L932" t="str">
        <f t="shared" si="58"/>
        <v>Medium</v>
      </c>
      <c r="M932" t="str">
        <f t="shared" si="59"/>
        <v>Low Risk</v>
      </c>
    </row>
    <row r="933" spans="1:13" x14ac:dyDescent="0.3">
      <c r="A933">
        <v>22</v>
      </c>
      <c r="B933" t="s">
        <v>1009</v>
      </c>
      <c r="C933">
        <v>2</v>
      </c>
      <c r="D933" t="s">
        <v>1016</v>
      </c>
      <c r="E933" t="s">
        <v>1012</v>
      </c>
      <c r="F933" t="s">
        <v>1013</v>
      </c>
      <c r="G933" s="5">
        <v>1670</v>
      </c>
      <c r="H933">
        <v>9</v>
      </c>
      <c r="I933" t="s">
        <v>1023</v>
      </c>
      <c r="J933" t="str">
        <f t="shared" si="56"/>
        <v>Low Risk</v>
      </c>
      <c r="K933" t="str">
        <f t="shared" si="57"/>
        <v>Young</v>
      </c>
      <c r="L933" t="str">
        <f t="shared" si="58"/>
        <v>Short</v>
      </c>
      <c r="M933" t="str">
        <f t="shared" si="59"/>
        <v>Low Risk</v>
      </c>
    </row>
    <row r="934" spans="1:13" x14ac:dyDescent="0.3">
      <c r="A934">
        <v>30</v>
      </c>
      <c r="B934" t="s">
        <v>1010</v>
      </c>
      <c r="C934">
        <v>2</v>
      </c>
      <c r="D934" t="s">
        <v>1016</v>
      </c>
      <c r="E934" t="s">
        <v>1012</v>
      </c>
      <c r="F934" t="s">
        <v>1011</v>
      </c>
      <c r="G934" s="5">
        <v>1224</v>
      </c>
      <c r="H934">
        <v>9</v>
      </c>
      <c r="I934" t="s">
        <v>1019</v>
      </c>
      <c r="J934" t="str">
        <f t="shared" si="56"/>
        <v>Low Risk</v>
      </c>
      <c r="K934" t="str">
        <f t="shared" si="57"/>
        <v>Senior</v>
      </c>
      <c r="L934" t="str">
        <f t="shared" si="58"/>
        <v>Short</v>
      </c>
      <c r="M934" t="str">
        <f t="shared" si="59"/>
        <v>Low Risk</v>
      </c>
    </row>
    <row r="935" spans="1:13" x14ac:dyDescent="0.3">
      <c r="A935">
        <v>42</v>
      </c>
      <c r="B935" t="s">
        <v>1010</v>
      </c>
      <c r="C935">
        <v>2</v>
      </c>
      <c r="D935" t="s">
        <v>1016</v>
      </c>
      <c r="E935" t="s">
        <v>1014</v>
      </c>
      <c r="F935" t="s">
        <v>1011</v>
      </c>
      <c r="G935" s="5">
        <v>522</v>
      </c>
      <c r="H935">
        <v>12</v>
      </c>
      <c r="I935" t="s">
        <v>1023</v>
      </c>
      <c r="J935" t="str">
        <f t="shared" si="56"/>
        <v>Low Risk</v>
      </c>
      <c r="K935" t="str">
        <f t="shared" si="57"/>
        <v>Senior</v>
      </c>
      <c r="L935" t="str">
        <f t="shared" si="58"/>
        <v>Medium</v>
      </c>
      <c r="M935" t="str">
        <f t="shared" si="59"/>
        <v>Low Risk</v>
      </c>
    </row>
    <row r="936" spans="1:13" x14ac:dyDescent="0.3">
      <c r="A936">
        <v>23</v>
      </c>
      <c r="B936" t="s">
        <v>1009</v>
      </c>
      <c r="C936">
        <v>2</v>
      </c>
      <c r="D936" t="s">
        <v>1016</v>
      </c>
      <c r="E936" t="s">
        <v>1012</v>
      </c>
      <c r="F936" t="s">
        <v>1012</v>
      </c>
      <c r="G936" s="5">
        <v>1498</v>
      </c>
      <c r="H936">
        <v>12</v>
      </c>
      <c r="I936" t="s">
        <v>1023</v>
      </c>
      <c r="J936" t="str">
        <f t="shared" si="56"/>
        <v>Low Risk</v>
      </c>
      <c r="K936" t="str">
        <f t="shared" si="57"/>
        <v>Young</v>
      </c>
      <c r="L936" t="str">
        <f t="shared" si="58"/>
        <v>Medium</v>
      </c>
      <c r="M936" t="str">
        <f t="shared" si="59"/>
        <v>Low Risk</v>
      </c>
    </row>
    <row r="937" spans="1:13" x14ac:dyDescent="0.3">
      <c r="A937">
        <v>30</v>
      </c>
      <c r="B937" t="s">
        <v>1010</v>
      </c>
      <c r="C937">
        <v>3</v>
      </c>
      <c r="D937" t="s">
        <v>1016</v>
      </c>
      <c r="E937" t="s">
        <v>1013</v>
      </c>
      <c r="F937" t="s">
        <v>1013</v>
      </c>
      <c r="G937" s="5">
        <v>1919</v>
      </c>
      <c r="H937">
        <v>30</v>
      </c>
      <c r="I937" t="s">
        <v>1023</v>
      </c>
      <c r="J937" t="str">
        <f t="shared" si="56"/>
        <v>Low Risk</v>
      </c>
      <c r="K937" t="str">
        <f t="shared" si="57"/>
        <v>Senior</v>
      </c>
      <c r="L937" t="str">
        <f t="shared" si="58"/>
        <v>Medium</v>
      </c>
      <c r="M937" t="str">
        <f t="shared" si="59"/>
        <v>Low Risk</v>
      </c>
    </row>
    <row r="938" spans="1:13" x14ac:dyDescent="0.3">
      <c r="A938">
        <v>28</v>
      </c>
      <c r="B938" t="s">
        <v>1009</v>
      </c>
      <c r="C938">
        <v>1</v>
      </c>
      <c r="D938" t="s">
        <v>1016</v>
      </c>
      <c r="E938" t="s">
        <v>1012</v>
      </c>
      <c r="F938" t="s">
        <v>1008</v>
      </c>
      <c r="G938" s="5">
        <v>745</v>
      </c>
      <c r="H938">
        <v>9</v>
      </c>
      <c r="I938" t="s">
        <v>1023</v>
      </c>
      <c r="J938" t="str">
        <f t="shared" si="56"/>
        <v>Low Risk</v>
      </c>
      <c r="K938" t="str">
        <f t="shared" si="57"/>
        <v>Young</v>
      </c>
      <c r="L938" t="str">
        <f t="shared" si="58"/>
        <v>Short</v>
      </c>
      <c r="M938" t="str">
        <f t="shared" si="59"/>
        <v>Low Risk</v>
      </c>
    </row>
    <row r="939" spans="1:13" x14ac:dyDescent="0.3">
      <c r="A939">
        <v>30</v>
      </c>
      <c r="B939" t="s">
        <v>1010</v>
      </c>
      <c r="C939">
        <v>3</v>
      </c>
      <c r="D939" t="s">
        <v>1017</v>
      </c>
      <c r="E939" t="s">
        <v>1012</v>
      </c>
      <c r="F939" t="s">
        <v>1013</v>
      </c>
      <c r="G939" s="5">
        <v>2063</v>
      </c>
      <c r="H939">
        <v>6</v>
      </c>
      <c r="I939" t="s">
        <v>1023</v>
      </c>
      <c r="J939" t="str">
        <f t="shared" si="56"/>
        <v>Low Risk</v>
      </c>
      <c r="K939" t="str">
        <f t="shared" si="57"/>
        <v>Senior</v>
      </c>
      <c r="L939" t="str">
        <f t="shared" si="58"/>
        <v>Short</v>
      </c>
      <c r="M939" t="str">
        <f t="shared" si="59"/>
        <v>Low Risk</v>
      </c>
    </row>
    <row r="940" spans="1:13" x14ac:dyDescent="0.3">
      <c r="A940">
        <v>42</v>
      </c>
      <c r="B940" t="s">
        <v>1010</v>
      </c>
      <c r="C940">
        <v>2</v>
      </c>
      <c r="D940" t="s">
        <v>1015</v>
      </c>
      <c r="E940" t="s">
        <v>1012</v>
      </c>
      <c r="F940" t="s">
        <v>1013</v>
      </c>
      <c r="G940" s="5">
        <v>6288</v>
      </c>
      <c r="H940">
        <v>60</v>
      </c>
      <c r="I940" t="s">
        <v>1021</v>
      </c>
      <c r="J940" t="str">
        <f t="shared" si="56"/>
        <v>High Risk</v>
      </c>
      <c r="K940" t="str">
        <f t="shared" si="57"/>
        <v>Senior</v>
      </c>
      <c r="L940" t="str">
        <f t="shared" si="58"/>
        <v>Long</v>
      </c>
      <c r="M940" t="str">
        <f t="shared" si="59"/>
        <v>HighRisk</v>
      </c>
    </row>
    <row r="941" spans="1:13" x14ac:dyDescent="0.3">
      <c r="A941">
        <v>46</v>
      </c>
      <c r="B941" t="s">
        <v>1010</v>
      </c>
      <c r="C941">
        <v>3</v>
      </c>
      <c r="D941" t="s">
        <v>1016</v>
      </c>
      <c r="E941" t="s">
        <v>1011</v>
      </c>
      <c r="F941" t="s">
        <v>1011</v>
      </c>
      <c r="G941" s="5">
        <v>6842</v>
      </c>
      <c r="H941">
        <v>24</v>
      </c>
      <c r="I941" t="s">
        <v>1019</v>
      </c>
      <c r="J941" t="str">
        <f t="shared" si="56"/>
        <v>Low Risk</v>
      </c>
      <c r="K941" t="str">
        <f t="shared" si="57"/>
        <v>Senior</v>
      </c>
      <c r="L941" t="str">
        <f t="shared" si="58"/>
        <v>Medium</v>
      </c>
      <c r="M941" t="str">
        <f t="shared" si="59"/>
        <v>HighRisk</v>
      </c>
    </row>
    <row r="942" spans="1:13" x14ac:dyDescent="0.3">
      <c r="A942">
        <v>45</v>
      </c>
      <c r="B942" t="s">
        <v>1010</v>
      </c>
      <c r="C942">
        <v>3</v>
      </c>
      <c r="D942" t="s">
        <v>1016</v>
      </c>
      <c r="E942" t="s">
        <v>1011</v>
      </c>
      <c r="F942" t="s">
        <v>1011</v>
      </c>
      <c r="G942" s="5">
        <v>3527</v>
      </c>
      <c r="H942">
        <v>12</v>
      </c>
      <c r="I942" t="s">
        <v>1019</v>
      </c>
      <c r="J942" t="str">
        <f t="shared" si="56"/>
        <v>Low Risk</v>
      </c>
      <c r="K942" t="str">
        <f t="shared" si="57"/>
        <v>Senior</v>
      </c>
      <c r="L942" t="str">
        <f t="shared" si="58"/>
        <v>Medium</v>
      </c>
      <c r="M942" t="str">
        <f t="shared" si="59"/>
        <v>Medium Risk</v>
      </c>
    </row>
    <row r="943" spans="1:13" x14ac:dyDescent="0.3">
      <c r="A943">
        <v>31</v>
      </c>
      <c r="B943" t="s">
        <v>1010</v>
      </c>
      <c r="C943">
        <v>1</v>
      </c>
      <c r="D943" t="s">
        <v>1016</v>
      </c>
      <c r="E943" t="s">
        <v>1012</v>
      </c>
      <c r="F943" t="s">
        <v>1011</v>
      </c>
      <c r="G943" s="5">
        <v>1546</v>
      </c>
      <c r="H943">
        <v>10</v>
      </c>
      <c r="I943" t="s">
        <v>1019</v>
      </c>
      <c r="J943" t="str">
        <f t="shared" si="56"/>
        <v>Low Risk</v>
      </c>
      <c r="K943" t="str">
        <f t="shared" si="57"/>
        <v>Senior</v>
      </c>
      <c r="L943" t="str">
        <f t="shared" si="58"/>
        <v>Short</v>
      </c>
      <c r="M943" t="str">
        <f t="shared" si="59"/>
        <v>Low Risk</v>
      </c>
    </row>
    <row r="944" spans="1:13" x14ac:dyDescent="0.3">
      <c r="A944">
        <v>31</v>
      </c>
      <c r="B944" t="s">
        <v>1010</v>
      </c>
      <c r="C944">
        <v>2</v>
      </c>
      <c r="D944" t="s">
        <v>1016</v>
      </c>
      <c r="E944" t="s">
        <v>1011</v>
      </c>
      <c r="F944" t="s">
        <v>1011</v>
      </c>
      <c r="G944" s="5">
        <v>929</v>
      </c>
      <c r="H944">
        <v>24</v>
      </c>
      <c r="I944" t="s">
        <v>1022</v>
      </c>
      <c r="J944" t="str">
        <f t="shared" si="56"/>
        <v>Low Risk</v>
      </c>
      <c r="K944" t="str">
        <f t="shared" si="57"/>
        <v>Senior</v>
      </c>
      <c r="L944" t="str">
        <f t="shared" si="58"/>
        <v>Medium</v>
      </c>
      <c r="M944" t="str">
        <f t="shared" si="59"/>
        <v>Low Risk</v>
      </c>
    </row>
    <row r="945" spans="1:13" x14ac:dyDescent="0.3">
      <c r="A945">
        <v>42</v>
      </c>
      <c r="B945" t="s">
        <v>1010</v>
      </c>
      <c r="C945">
        <v>1</v>
      </c>
      <c r="D945" t="s">
        <v>1016</v>
      </c>
      <c r="E945" t="s">
        <v>1012</v>
      </c>
      <c r="F945" t="s">
        <v>1011</v>
      </c>
      <c r="G945" s="5">
        <v>1455</v>
      </c>
      <c r="H945">
        <v>4</v>
      </c>
      <c r="I945" t="s">
        <v>1019</v>
      </c>
      <c r="J945" t="str">
        <f t="shared" si="56"/>
        <v>Low Risk</v>
      </c>
      <c r="K945" t="str">
        <f t="shared" si="57"/>
        <v>Senior</v>
      </c>
      <c r="L945" t="str">
        <f t="shared" si="58"/>
        <v>Short</v>
      </c>
      <c r="M945" t="str">
        <f t="shared" si="59"/>
        <v>Low Risk</v>
      </c>
    </row>
    <row r="946" spans="1:13" x14ac:dyDescent="0.3">
      <c r="A946">
        <v>46</v>
      </c>
      <c r="B946" t="s">
        <v>1009</v>
      </c>
      <c r="C946">
        <v>2</v>
      </c>
      <c r="D946" t="s">
        <v>1017</v>
      </c>
      <c r="E946" t="s">
        <v>1012</v>
      </c>
      <c r="F946" t="s">
        <v>1012</v>
      </c>
      <c r="G946" s="5">
        <v>1845</v>
      </c>
      <c r="H946">
        <v>15</v>
      </c>
      <c r="I946" t="s">
        <v>1022</v>
      </c>
      <c r="J946" t="str">
        <f t="shared" si="56"/>
        <v>Low Risk</v>
      </c>
      <c r="K946" t="str">
        <f t="shared" si="57"/>
        <v>Senior</v>
      </c>
      <c r="L946" t="str">
        <f t="shared" si="58"/>
        <v>Medium</v>
      </c>
      <c r="M946" t="str">
        <f t="shared" si="59"/>
        <v>Low Risk</v>
      </c>
    </row>
    <row r="947" spans="1:13" x14ac:dyDescent="0.3">
      <c r="A947">
        <v>30</v>
      </c>
      <c r="B947" t="s">
        <v>1009</v>
      </c>
      <c r="C947">
        <v>2</v>
      </c>
      <c r="D947" t="s">
        <v>1016</v>
      </c>
      <c r="E947" t="s">
        <v>1014</v>
      </c>
      <c r="F947" t="s">
        <v>1013</v>
      </c>
      <c r="G947" s="5">
        <v>8358</v>
      </c>
      <c r="H947">
        <v>48</v>
      </c>
      <c r="I947" t="s">
        <v>1019</v>
      </c>
      <c r="J947" t="str">
        <f t="shared" si="56"/>
        <v>High Risk</v>
      </c>
      <c r="K947" t="str">
        <f t="shared" si="57"/>
        <v>Senior</v>
      </c>
      <c r="L947" t="str">
        <f t="shared" si="58"/>
        <v>Long</v>
      </c>
      <c r="M947" t="str">
        <f t="shared" si="59"/>
        <v>HighRisk</v>
      </c>
    </row>
    <row r="948" spans="1:13" x14ac:dyDescent="0.3">
      <c r="A948">
        <v>30</v>
      </c>
      <c r="B948" t="s">
        <v>1010</v>
      </c>
      <c r="C948">
        <v>2</v>
      </c>
      <c r="D948" t="s">
        <v>1015</v>
      </c>
      <c r="E948" t="s">
        <v>1014</v>
      </c>
      <c r="F948" t="s">
        <v>1012</v>
      </c>
      <c r="G948" s="5">
        <v>3349</v>
      </c>
      <c r="H948">
        <v>24</v>
      </c>
      <c r="I948" t="s">
        <v>1022</v>
      </c>
      <c r="J948" t="str">
        <f t="shared" si="56"/>
        <v>Low Risk</v>
      </c>
      <c r="K948" t="str">
        <f t="shared" si="57"/>
        <v>Senior</v>
      </c>
      <c r="L948" t="str">
        <f t="shared" si="58"/>
        <v>Medium</v>
      </c>
      <c r="M948" t="str">
        <f t="shared" si="59"/>
        <v>Medium Risk</v>
      </c>
    </row>
    <row r="949" spans="1:13" x14ac:dyDescent="0.3">
      <c r="A949">
        <v>38</v>
      </c>
      <c r="B949" t="s">
        <v>1010</v>
      </c>
      <c r="C949">
        <v>3</v>
      </c>
      <c r="D949" t="s">
        <v>1016</v>
      </c>
      <c r="E949" t="s">
        <v>1011</v>
      </c>
      <c r="F949" t="s">
        <v>1011</v>
      </c>
      <c r="G949" s="5">
        <v>2859</v>
      </c>
      <c r="H949">
        <v>12</v>
      </c>
      <c r="I949" t="s">
        <v>1019</v>
      </c>
      <c r="J949" t="str">
        <f t="shared" si="56"/>
        <v>Low Risk</v>
      </c>
      <c r="K949" t="str">
        <f t="shared" si="57"/>
        <v>Senior</v>
      </c>
      <c r="L949" t="str">
        <f t="shared" si="58"/>
        <v>Medium</v>
      </c>
      <c r="M949" t="str">
        <f t="shared" si="59"/>
        <v>Low Risk</v>
      </c>
    </row>
    <row r="950" spans="1:13" x14ac:dyDescent="0.3">
      <c r="A950">
        <v>43</v>
      </c>
      <c r="B950" t="s">
        <v>1010</v>
      </c>
      <c r="C950">
        <v>1</v>
      </c>
      <c r="D950" t="s">
        <v>1016</v>
      </c>
      <c r="E950" t="s">
        <v>1012</v>
      </c>
      <c r="F950" t="s">
        <v>1011</v>
      </c>
      <c r="G950" s="5">
        <v>1533</v>
      </c>
      <c r="H950">
        <v>18</v>
      </c>
      <c r="I950" t="s">
        <v>1022</v>
      </c>
      <c r="J950" t="str">
        <f t="shared" si="56"/>
        <v>Low Risk</v>
      </c>
      <c r="K950" t="str">
        <f t="shared" si="57"/>
        <v>Senior</v>
      </c>
      <c r="L950" t="str">
        <f t="shared" si="58"/>
        <v>Medium</v>
      </c>
      <c r="M950" t="str">
        <f t="shared" si="59"/>
        <v>Low Risk</v>
      </c>
    </row>
    <row r="951" spans="1:13" x14ac:dyDescent="0.3">
      <c r="A951">
        <v>31</v>
      </c>
      <c r="B951" t="s">
        <v>1010</v>
      </c>
      <c r="C951">
        <v>2</v>
      </c>
      <c r="D951" t="s">
        <v>1016</v>
      </c>
      <c r="E951" t="s">
        <v>1013</v>
      </c>
      <c r="F951" t="s">
        <v>1011</v>
      </c>
      <c r="G951" s="5">
        <v>3621</v>
      </c>
      <c r="H951">
        <v>24</v>
      </c>
      <c r="I951" t="s">
        <v>1023</v>
      </c>
      <c r="J951" t="str">
        <f t="shared" si="56"/>
        <v>Low Risk</v>
      </c>
      <c r="K951" t="str">
        <f t="shared" si="57"/>
        <v>Senior</v>
      </c>
      <c r="L951" t="str">
        <f t="shared" si="58"/>
        <v>Medium</v>
      </c>
      <c r="M951" t="str">
        <f t="shared" si="59"/>
        <v>Medium Risk</v>
      </c>
    </row>
    <row r="952" spans="1:13" x14ac:dyDescent="0.3">
      <c r="A952">
        <v>40</v>
      </c>
      <c r="B952" t="s">
        <v>1010</v>
      </c>
      <c r="C952">
        <v>0</v>
      </c>
      <c r="D952" t="s">
        <v>1016</v>
      </c>
      <c r="E952" t="s">
        <v>1012</v>
      </c>
      <c r="F952" t="s">
        <v>1013</v>
      </c>
      <c r="G952" s="5">
        <v>3590</v>
      </c>
      <c r="H952">
        <v>18</v>
      </c>
      <c r="I952" t="s">
        <v>1018</v>
      </c>
      <c r="J952" t="str">
        <f t="shared" si="56"/>
        <v>Low Risk</v>
      </c>
      <c r="K952" t="str">
        <f t="shared" si="57"/>
        <v>Senior</v>
      </c>
      <c r="L952" t="str">
        <f t="shared" si="58"/>
        <v>Medium</v>
      </c>
      <c r="M952" t="str">
        <f t="shared" si="59"/>
        <v>Medium Risk</v>
      </c>
    </row>
    <row r="953" spans="1:13" x14ac:dyDescent="0.3">
      <c r="A953">
        <v>24</v>
      </c>
      <c r="B953" t="s">
        <v>1010</v>
      </c>
      <c r="C953">
        <v>2</v>
      </c>
      <c r="D953" t="s">
        <v>1016</v>
      </c>
      <c r="E953" t="s">
        <v>1012</v>
      </c>
      <c r="F953" t="s">
        <v>1012</v>
      </c>
      <c r="G953" s="5">
        <v>2145</v>
      </c>
      <c r="H953">
        <v>36</v>
      </c>
      <c r="I953" t="s">
        <v>1018</v>
      </c>
      <c r="J953" t="str">
        <f t="shared" si="56"/>
        <v>Low Risk</v>
      </c>
      <c r="K953" t="str">
        <f t="shared" si="57"/>
        <v>Young</v>
      </c>
      <c r="L953" t="str">
        <f t="shared" si="58"/>
        <v>Long</v>
      </c>
      <c r="M953" t="str">
        <f t="shared" si="59"/>
        <v>Low Risk</v>
      </c>
    </row>
    <row r="954" spans="1:13" x14ac:dyDescent="0.3">
      <c r="A954">
        <v>28</v>
      </c>
      <c r="B954" t="s">
        <v>1009</v>
      </c>
      <c r="C954">
        <v>2</v>
      </c>
      <c r="D954" t="s">
        <v>1017</v>
      </c>
      <c r="E954" t="s">
        <v>1014</v>
      </c>
      <c r="F954" t="s">
        <v>1013</v>
      </c>
      <c r="G954" s="5">
        <v>4113</v>
      </c>
      <c r="H954">
        <v>24</v>
      </c>
      <c r="I954" t="s">
        <v>1019</v>
      </c>
      <c r="J954" t="str">
        <f t="shared" si="56"/>
        <v>Low Risk</v>
      </c>
      <c r="K954" t="str">
        <f t="shared" si="57"/>
        <v>Young</v>
      </c>
      <c r="L954" t="str">
        <f t="shared" si="58"/>
        <v>Medium</v>
      </c>
      <c r="M954" t="str">
        <f t="shared" si="59"/>
        <v>Medium Risk</v>
      </c>
    </row>
    <row r="955" spans="1:13" x14ac:dyDescent="0.3">
      <c r="A955">
        <v>26</v>
      </c>
      <c r="B955" t="s">
        <v>1009</v>
      </c>
      <c r="C955">
        <v>3</v>
      </c>
      <c r="D955" t="s">
        <v>1016</v>
      </c>
      <c r="E955" t="s">
        <v>1012</v>
      </c>
      <c r="F955" t="s">
        <v>1011</v>
      </c>
      <c r="G955" s="5">
        <v>10974</v>
      </c>
      <c r="H955">
        <v>36</v>
      </c>
      <c r="I955" t="s">
        <v>1022</v>
      </c>
      <c r="J955" t="str">
        <f t="shared" si="56"/>
        <v>High Risk</v>
      </c>
      <c r="K955" t="str">
        <f t="shared" si="57"/>
        <v>Young</v>
      </c>
      <c r="L955" t="str">
        <f t="shared" si="58"/>
        <v>Long</v>
      </c>
      <c r="M955" t="str">
        <f t="shared" si="59"/>
        <v>HighRisk</v>
      </c>
    </row>
    <row r="956" spans="1:13" x14ac:dyDescent="0.3">
      <c r="A956">
        <v>29</v>
      </c>
      <c r="B956" t="s">
        <v>1009</v>
      </c>
      <c r="C956">
        <v>2</v>
      </c>
      <c r="D956" t="s">
        <v>1016</v>
      </c>
      <c r="E956" t="s">
        <v>1012</v>
      </c>
      <c r="F956" t="s">
        <v>1012</v>
      </c>
      <c r="G956" s="5">
        <v>1893</v>
      </c>
      <c r="H956">
        <v>12</v>
      </c>
      <c r="I956" t="s">
        <v>1019</v>
      </c>
      <c r="J956" t="str">
        <f t="shared" si="56"/>
        <v>Low Risk</v>
      </c>
      <c r="K956" t="str">
        <f t="shared" si="57"/>
        <v>Young</v>
      </c>
      <c r="L956" t="str">
        <f t="shared" si="58"/>
        <v>Medium</v>
      </c>
      <c r="M956" t="str">
        <f t="shared" si="59"/>
        <v>Low Risk</v>
      </c>
    </row>
    <row r="957" spans="1:13" x14ac:dyDescent="0.3">
      <c r="A957">
        <v>57</v>
      </c>
      <c r="B957" t="s">
        <v>1009</v>
      </c>
      <c r="C957">
        <v>3</v>
      </c>
      <c r="D957" t="s">
        <v>1017</v>
      </c>
      <c r="E957" t="s">
        <v>1008</v>
      </c>
      <c r="F957" t="s">
        <v>1012</v>
      </c>
      <c r="G957" s="5">
        <v>1231</v>
      </c>
      <c r="H957">
        <v>24</v>
      </c>
      <c r="I957" t="s">
        <v>1023</v>
      </c>
      <c r="J957" t="str">
        <f t="shared" si="56"/>
        <v>Low Risk</v>
      </c>
      <c r="K957" t="str">
        <f t="shared" si="57"/>
        <v>Adult</v>
      </c>
      <c r="L957" t="str">
        <f t="shared" si="58"/>
        <v>Medium</v>
      </c>
      <c r="M957" t="str">
        <f t="shared" si="59"/>
        <v>Low Risk</v>
      </c>
    </row>
    <row r="958" spans="1:13" x14ac:dyDescent="0.3">
      <c r="A958">
        <v>49</v>
      </c>
      <c r="B958" t="s">
        <v>1010</v>
      </c>
      <c r="C958">
        <v>1</v>
      </c>
      <c r="D958" t="s">
        <v>1016</v>
      </c>
      <c r="E958" t="s">
        <v>1011</v>
      </c>
      <c r="F958" t="s">
        <v>1008</v>
      </c>
      <c r="G958" s="5">
        <v>3656</v>
      </c>
      <c r="H958">
        <v>30</v>
      </c>
      <c r="I958" t="s">
        <v>1023</v>
      </c>
      <c r="J958" t="str">
        <f t="shared" si="56"/>
        <v>Low Risk</v>
      </c>
      <c r="K958" t="str">
        <f t="shared" si="57"/>
        <v>Senior</v>
      </c>
      <c r="L958" t="str">
        <f t="shared" si="58"/>
        <v>Medium</v>
      </c>
      <c r="M958" t="str">
        <f t="shared" si="59"/>
        <v>Medium Risk</v>
      </c>
    </row>
    <row r="959" spans="1:13" x14ac:dyDescent="0.3">
      <c r="A959">
        <v>37</v>
      </c>
      <c r="B959" t="s">
        <v>1010</v>
      </c>
      <c r="C959">
        <v>1</v>
      </c>
      <c r="D959" t="s">
        <v>1016</v>
      </c>
      <c r="E959" t="s">
        <v>1012</v>
      </c>
      <c r="F959" t="s">
        <v>1013</v>
      </c>
      <c r="G959" s="5">
        <v>1154</v>
      </c>
      <c r="H959">
        <v>9</v>
      </c>
      <c r="I959" t="s">
        <v>1023</v>
      </c>
      <c r="J959" t="str">
        <f t="shared" si="56"/>
        <v>Low Risk</v>
      </c>
      <c r="K959" t="str">
        <f t="shared" si="57"/>
        <v>Senior</v>
      </c>
      <c r="L959" t="str">
        <f t="shared" si="58"/>
        <v>Short</v>
      </c>
      <c r="M959" t="str">
        <f t="shared" si="59"/>
        <v>Low Risk</v>
      </c>
    </row>
    <row r="960" spans="1:13" x14ac:dyDescent="0.3">
      <c r="A960">
        <v>45</v>
      </c>
      <c r="B960" t="s">
        <v>1010</v>
      </c>
      <c r="C960">
        <v>1</v>
      </c>
      <c r="D960" t="s">
        <v>1016</v>
      </c>
      <c r="E960" t="s">
        <v>1012</v>
      </c>
      <c r="F960" t="s">
        <v>1012</v>
      </c>
      <c r="G960" s="5">
        <v>4006</v>
      </c>
      <c r="H960">
        <v>28</v>
      </c>
      <c r="I960" t="s">
        <v>1019</v>
      </c>
      <c r="J960" t="str">
        <f t="shared" si="56"/>
        <v>Medium Risk</v>
      </c>
      <c r="K960" t="str">
        <f t="shared" si="57"/>
        <v>Senior</v>
      </c>
      <c r="L960" t="str">
        <f t="shared" si="58"/>
        <v>Medium</v>
      </c>
      <c r="M960" t="str">
        <f t="shared" si="59"/>
        <v>Medium Risk</v>
      </c>
    </row>
    <row r="961" spans="1:13" x14ac:dyDescent="0.3">
      <c r="A961">
        <v>30</v>
      </c>
      <c r="B961" t="s">
        <v>1010</v>
      </c>
      <c r="C961">
        <v>2</v>
      </c>
      <c r="D961" t="s">
        <v>1015</v>
      </c>
      <c r="E961" t="s">
        <v>1013</v>
      </c>
      <c r="F961" t="s">
        <v>1013</v>
      </c>
      <c r="G961" s="5">
        <v>3069</v>
      </c>
      <c r="H961">
        <v>24</v>
      </c>
      <c r="I961" t="s">
        <v>1022</v>
      </c>
      <c r="J961" t="str">
        <f t="shared" si="56"/>
        <v>Low Risk</v>
      </c>
      <c r="K961" t="str">
        <f t="shared" si="57"/>
        <v>Senior</v>
      </c>
      <c r="L961" t="str">
        <f t="shared" si="58"/>
        <v>Medium</v>
      </c>
      <c r="M961" t="str">
        <f t="shared" si="59"/>
        <v>Medium Risk</v>
      </c>
    </row>
    <row r="962" spans="1:13" x14ac:dyDescent="0.3">
      <c r="A962">
        <v>30</v>
      </c>
      <c r="B962" t="s">
        <v>1010</v>
      </c>
      <c r="C962">
        <v>2</v>
      </c>
      <c r="D962" t="s">
        <v>1017</v>
      </c>
      <c r="E962" t="s">
        <v>1012</v>
      </c>
      <c r="F962" t="s">
        <v>1011</v>
      </c>
      <c r="G962" s="5">
        <v>1740</v>
      </c>
      <c r="H962">
        <v>6</v>
      </c>
      <c r="I962" t="s">
        <v>1023</v>
      </c>
      <c r="J962" t="str">
        <f t="shared" si="56"/>
        <v>Low Risk</v>
      </c>
      <c r="K962" t="str">
        <f t="shared" si="57"/>
        <v>Senior</v>
      </c>
      <c r="L962" t="str">
        <f t="shared" si="58"/>
        <v>Short</v>
      </c>
      <c r="M962" t="str">
        <f t="shared" si="59"/>
        <v>Low Risk</v>
      </c>
    </row>
    <row r="963" spans="1:13" x14ac:dyDescent="0.3">
      <c r="A963">
        <v>47</v>
      </c>
      <c r="B963" t="s">
        <v>1010</v>
      </c>
      <c r="C963">
        <v>2</v>
      </c>
      <c r="D963" t="s">
        <v>1016</v>
      </c>
      <c r="E963" t="s">
        <v>1012</v>
      </c>
      <c r="F963" t="s">
        <v>1013</v>
      </c>
      <c r="G963" s="5">
        <v>2353</v>
      </c>
      <c r="H963">
        <v>21</v>
      </c>
      <c r="I963" t="s">
        <v>1019</v>
      </c>
      <c r="J963" t="str">
        <f t="shared" ref="J963:J1001" si="60">IF(OR(G963&gt;7000,H963&gt;36),"High Risk",
IF(AND(G963&gt;4000,H963&gt;24),"Medium Risk",
"Low Risk"))</f>
        <v>Low Risk</v>
      </c>
      <c r="K963" t="str">
        <f t="shared" ref="K963:K1001" si="61">IF(A963&lt;30,"Young",IF(A963&gt;50,"Adult","Senior"))</f>
        <v>Senior</v>
      </c>
      <c r="L963" t="str">
        <f t="shared" ref="L963:L1001" si="62">IF(H963&lt;12,"Short",IF(H963&lt;36,"Medium","Long"))</f>
        <v>Medium</v>
      </c>
      <c r="M963" t="str">
        <f t="shared" ref="M963:M1001" si="63">IF(G963&lt;3000,"Low Risk",IF(G963&lt;=6000,"Medium Risk","HighRisk"))</f>
        <v>Low Risk</v>
      </c>
    </row>
    <row r="964" spans="1:13" x14ac:dyDescent="0.3">
      <c r="A964">
        <v>29</v>
      </c>
      <c r="B964" t="s">
        <v>1010</v>
      </c>
      <c r="C964">
        <v>2</v>
      </c>
      <c r="D964" t="s">
        <v>1016</v>
      </c>
      <c r="E964" t="s">
        <v>1011</v>
      </c>
      <c r="F964" t="s">
        <v>1011</v>
      </c>
      <c r="G964" s="5">
        <v>3556</v>
      </c>
      <c r="H964">
        <v>15</v>
      </c>
      <c r="I964" t="s">
        <v>1019</v>
      </c>
      <c r="J964" t="str">
        <f t="shared" si="60"/>
        <v>Low Risk</v>
      </c>
      <c r="K964" t="str">
        <f t="shared" si="61"/>
        <v>Young</v>
      </c>
      <c r="L964" t="str">
        <f t="shared" si="62"/>
        <v>Medium</v>
      </c>
      <c r="M964" t="str">
        <f t="shared" si="63"/>
        <v>Medium Risk</v>
      </c>
    </row>
    <row r="965" spans="1:13" x14ac:dyDescent="0.3">
      <c r="A965">
        <v>35</v>
      </c>
      <c r="B965" t="s">
        <v>1010</v>
      </c>
      <c r="C965">
        <v>2</v>
      </c>
      <c r="D965" t="s">
        <v>1016</v>
      </c>
      <c r="E965" t="s">
        <v>1014</v>
      </c>
      <c r="F965" t="s">
        <v>1011</v>
      </c>
      <c r="G965" s="5">
        <v>2397</v>
      </c>
      <c r="H965">
        <v>24</v>
      </c>
      <c r="I965" t="s">
        <v>1023</v>
      </c>
      <c r="J965" t="str">
        <f t="shared" si="60"/>
        <v>Low Risk</v>
      </c>
      <c r="K965" t="str">
        <f t="shared" si="61"/>
        <v>Senior</v>
      </c>
      <c r="L965" t="str">
        <f t="shared" si="62"/>
        <v>Medium</v>
      </c>
      <c r="M965" t="str">
        <f t="shared" si="63"/>
        <v>Low Risk</v>
      </c>
    </row>
    <row r="966" spans="1:13" x14ac:dyDescent="0.3">
      <c r="A966">
        <v>22</v>
      </c>
      <c r="B966" t="s">
        <v>1010</v>
      </c>
      <c r="C966">
        <v>1</v>
      </c>
      <c r="D966" t="s">
        <v>1016</v>
      </c>
      <c r="E966" t="s">
        <v>1012</v>
      </c>
      <c r="F966" t="s">
        <v>1013</v>
      </c>
      <c r="G966" s="5">
        <v>454</v>
      </c>
      <c r="H966">
        <v>6</v>
      </c>
      <c r="I966" t="s">
        <v>1024</v>
      </c>
      <c r="J966" t="str">
        <f t="shared" si="60"/>
        <v>Low Risk</v>
      </c>
      <c r="K966" t="str">
        <f t="shared" si="61"/>
        <v>Young</v>
      </c>
      <c r="L966" t="str">
        <f t="shared" si="62"/>
        <v>Short</v>
      </c>
      <c r="M966" t="str">
        <f t="shared" si="63"/>
        <v>Low Risk</v>
      </c>
    </row>
    <row r="967" spans="1:13" x14ac:dyDescent="0.3">
      <c r="A967">
        <v>26</v>
      </c>
      <c r="B967" t="s">
        <v>1009</v>
      </c>
      <c r="C967">
        <v>2</v>
      </c>
      <c r="D967" t="s">
        <v>1016</v>
      </c>
      <c r="E967" t="s">
        <v>1011</v>
      </c>
      <c r="F967" t="s">
        <v>1013</v>
      </c>
      <c r="G967" s="5">
        <v>1715</v>
      </c>
      <c r="H967">
        <v>30</v>
      </c>
      <c r="I967" t="s">
        <v>1023</v>
      </c>
      <c r="J967" t="str">
        <f t="shared" si="60"/>
        <v>Low Risk</v>
      </c>
      <c r="K967" t="str">
        <f t="shared" si="61"/>
        <v>Young</v>
      </c>
      <c r="L967" t="str">
        <f t="shared" si="62"/>
        <v>Medium</v>
      </c>
      <c r="M967" t="str">
        <f t="shared" si="63"/>
        <v>Low Risk</v>
      </c>
    </row>
    <row r="968" spans="1:13" x14ac:dyDescent="0.3">
      <c r="A968">
        <v>23</v>
      </c>
      <c r="B968" t="s">
        <v>1010</v>
      </c>
      <c r="C968">
        <v>1</v>
      </c>
      <c r="D968" t="s">
        <v>1016</v>
      </c>
      <c r="E968" t="s">
        <v>1014</v>
      </c>
      <c r="F968" t="s">
        <v>1013</v>
      </c>
      <c r="G968" s="5">
        <v>2520</v>
      </c>
      <c r="H968">
        <v>27</v>
      </c>
      <c r="I968" t="s">
        <v>1023</v>
      </c>
      <c r="J968" t="str">
        <f t="shared" si="60"/>
        <v>Low Risk</v>
      </c>
      <c r="K968" t="str">
        <f t="shared" si="61"/>
        <v>Young</v>
      </c>
      <c r="L968" t="str">
        <f t="shared" si="62"/>
        <v>Medium</v>
      </c>
      <c r="M968" t="str">
        <f t="shared" si="63"/>
        <v>Low Risk</v>
      </c>
    </row>
    <row r="969" spans="1:13" x14ac:dyDescent="0.3">
      <c r="A969">
        <v>54</v>
      </c>
      <c r="B969" t="s">
        <v>1009</v>
      </c>
      <c r="C969">
        <v>3</v>
      </c>
      <c r="D969" t="s">
        <v>1017</v>
      </c>
      <c r="E969" t="s">
        <v>1012</v>
      </c>
      <c r="F969" t="s">
        <v>1011</v>
      </c>
      <c r="G969" s="5">
        <v>3568</v>
      </c>
      <c r="H969">
        <v>15</v>
      </c>
      <c r="I969" t="s">
        <v>1023</v>
      </c>
      <c r="J969" t="str">
        <f t="shared" si="60"/>
        <v>Low Risk</v>
      </c>
      <c r="K969" t="str">
        <f t="shared" si="61"/>
        <v>Adult</v>
      </c>
      <c r="L969" t="str">
        <f t="shared" si="62"/>
        <v>Medium</v>
      </c>
      <c r="M969" t="str">
        <f t="shared" si="63"/>
        <v>Medium Risk</v>
      </c>
    </row>
    <row r="970" spans="1:13" x14ac:dyDescent="0.3">
      <c r="A970">
        <v>29</v>
      </c>
      <c r="B970" t="s">
        <v>1010</v>
      </c>
      <c r="C970">
        <v>2</v>
      </c>
      <c r="D970" t="s">
        <v>1017</v>
      </c>
      <c r="E970" t="s">
        <v>1011</v>
      </c>
      <c r="F970" t="s">
        <v>1011</v>
      </c>
      <c r="G970" s="5">
        <v>7166</v>
      </c>
      <c r="H970">
        <v>42</v>
      </c>
      <c r="I970" t="s">
        <v>1023</v>
      </c>
      <c r="J970" t="str">
        <f t="shared" si="60"/>
        <v>High Risk</v>
      </c>
      <c r="K970" t="str">
        <f t="shared" si="61"/>
        <v>Young</v>
      </c>
      <c r="L970" t="str">
        <f t="shared" si="62"/>
        <v>Long</v>
      </c>
      <c r="M970" t="str">
        <f t="shared" si="63"/>
        <v>HighRisk</v>
      </c>
    </row>
    <row r="971" spans="1:13" x14ac:dyDescent="0.3">
      <c r="A971">
        <v>40</v>
      </c>
      <c r="B971" t="s">
        <v>1010</v>
      </c>
      <c r="C971">
        <v>1</v>
      </c>
      <c r="D971" t="s">
        <v>1016</v>
      </c>
      <c r="E971" t="s">
        <v>1012</v>
      </c>
      <c r="F971" t="s">
        <v>1012</v>
      </c>
      <c r="G971" s="5">
        <v>3939</v>
      </c>
      <c r="H971">
        <v>11</v>
      </c>
      <c r="I971" t="s">
        <v>1019</v>
      </c>
      <c r="J971" t="str">
        <f t="shared" si="60"/>
        <v>Low Risk</v>
      </c>
      <c r="K971" t="str">
        <f t="shared" si="61"/>
        <v>Senior</v>
      </c>
      <c r="L971" t="str">
        <f t="shared" si="62"/>
        <v>Short</v>
      </c>
      <c r="M971" t="str">
        <f t="shared" si="63"/>
        <v>Medium Risk</v>
      </c>
    </row>
    <row r="972" spans="1:13" x14ac:dyDescent="0.3">
      <c r="A972">
        <v>22</v>
      </c>
      <c r="B972" t="s">
        <v>1010</v>
      </c>
      <c r="C972">
        <v>2</v>
      </c>
      <c r="D972" t="s">
        <v>1016</v>
      </c>
      <c r="E972" t="s">
        <v>1013</v>
      </c>
      <c r="F972" t="s">
        <v>1013</v>
      </c>
      <c r="G972" s="5">
        <v>1514</v>
      </c>
      <c r="H972">
        <v>15</v>
      </c>
      <c r="I972" t="s">
        <v>1024</v>
      </c>
      <c r="J972" t="str">
        <f t="shared" si="60"/>
        <v>Low Risk</v>
      </c>
      <c r="K972" t="str">
        <f t="shared" si="61"/>
        <v>Young</v>
      </c>
      <c r="L972" t="str">
        <f t="shared" si="62"/>
        <v>Medium</v>
      </c>
      <c r="M972" t="str">
        <f t="shared" si="63"/>
        <v>Low Risk</v>
      </c>
    </row>
    <row r="973" spans="1:13" x14ac:dyDescent="0.3">
      <c r="A973">
        <v>43</v>
      </c>
      <c r="B973" t="s">
        <v>1010</v>
      </c>
      <c r="C973">
        <v>1</v>
      </c>
      <c r="D973" t="s">
        <v>1016</v>
      </c>
      <c r="E973" t="s">
        <v>1012</v>
      </c>
      <c r="F973" t="s">
        <v>1011</v>
      </c>
      <c r="G973" s="5">
        <v>7393</v>
      </c>
      <c r="H973">
        <v>24</v>
      </c>
      <c r="I973" t="s">
        <v>1019</v>
      </c>
      <c r="J973" t="str">
        <f t="shared" si="60"/>
        <v>High Risk</v>
      </c>
      <c r="K973" t="str">
        <f t="shared" si="61"/>
        <v>Senior</v>
      </c>
      <c r="L973" t="str">
        <f t="shared" si="62"/>
        <v>Medium</v>
      </c>
      <c r="M973" t="str">
        <f t="shared" si="63"/>
        <v>HighRisk</v>
      </c>
    </row>
    <row r="974" spans="1:13" x14ac:dyDescent="0.3">
      <c r="A974">
        <v>29</v>
      </c>
      <c r="B974" t="s">
        <v>1009</v>
      </c>
      <c r="C974">
        <v>0</v>
      </c>
      <c r="D974" t="s">
        <v>1017</v>
      </c>
      <c r="E974" t="s">
        <v>1012</v>
      </c>
      <c r="F974" t="s">
        <v>1012</v>
      </c>
      <c r="G974" s="5">
        <v>1193</v>
      </c>
      <c r="H974">
        <v>24</v>
      </c>
      <c r="I974" t="s">
        <v>1019</v>
      </c>
      <c r="J974" t="str">
        <f t="shared" si="60"/>
        <v>Low Risk</v>
      </c>
      <c r="K974" t="str">
        <f t="shared" si="61"/>
        <v>Young</v>
      </c>
      <c r="L974" t="str">
        <f t="shared" si="62"/>
        <v>Medium</v>
      </c>
      <c r="M974" t="str">
        <f t="shared" si="63"/>
        <v>Low Risk</v>
      </c>
    </row>
    <row r="975" spans="1:13" x14ac:dyDescent="0.3">
      <c r="A975">
        <v>36</v>
      </c>
      <c r="B975" t="s">
        <v>1010</v>
      </c>
      <c r="C975">
        <v>2</v>
      </c>
      <c r="D975" t="s">
        <v>1017</v>
      </c>
      <c r="E975" t="s">
        <v>1012</v>
      </c>
      <c r="F975" t="s">
        <v>1012</v>
      </c>
      <c r="G975" s="5">
        <v>7297</v>
      </c>
      <c r="H975">
        <v>60</v>
      </c>
      <c r="I975" t="s">
        <v>1018</v>
      </c>
      <c r="J975" t="str">
        <f t="shared" si="60"/>
        <v>High Risk</v>
      </c>
      <c r="K975" t="str">
        <f t="shared" si="61"/>
        <v>Senior</v>
      </c>
      <c r="L975" t="str">
        <f t="shared" si="62"/>
        <v>Long</v>
      </c>
      <c r="M975" t="str">
        <f t="shared" si="63"/>
        <v>HighRisk</v>
      </c>
    </row>
    <row r="976" spans="1:13" x14ac:dyDescent="0.3">
      <c r="A976">
        <v>33</v>
      </c>
      <c r="B976" t="s">
        <v>1009</v>
      </c>
      <c r="C976">
        <v>2</v>
      </c>
      <c r="D976" t="s">
        <v>1016</v>
      </c>
      <c r="E976" t="s">
        <v>1012</v>
      </c>
      <c r="F976" t="s">
        <v>1011</v>
      </c>
      <c r="G976" s="5">
        <v>2831</v>
      </c>
      <c r="H976">
        <v>30</v>
      </c>
      <c r="I976" t="s">
        <v>1023</v>
      </c>
      <c r="J976" t="str">
        <f t="shared" si="60"/>
        <v>Low Risk</v>
      </c>
      <c r="K976" t="str">
        <f t="shared" si="61"/>
        <v>Senior</v>
      </c>
      <c r="L976" t="str">
        <f t="shared" si="62"/>
        <v>Medium</v>
      </c>
      <c r="M976" t="str">
        <f t="shared" si="63"/>
        <v>Low Risk</v>
      </c>
    </row>
    <row r="977" spans="1:13" x14ac:dyDescent="0.3">
      <c r="A977">
        <v>57</v>
      </c>
      <c r="B977" t="s">
        <v>1009</v>
      </c>
      <c r="C977">
        <v>1</v>
      </c>
      <c r="D977" t="s">
        <v>1016</v>
      </c>
      <c r="E977" t="s">
        <v>1014</v>
      </c>
      <c r="F977" t="s">
        <v>1008</v>
      </c>
      <c r="G977" s="5">
        <v>1258</v>
      </c>
      <c r="H977">
        <v>24</v>
      </c>
      <c r="I977" t="s">
        <v>1023</v>
      </c>
      <c r="J977" t="str">
        <f t="shared" si="60"/>
        <v>Low Risk</v>
      </c>
      <c r="K977" t="str">
        <f t="shared" si="61"/>
        <v>Adult</v>
      </c>
      <c r="L977" t="str">
        <f t="shared" si="62"/>
        <v>Medium</v>
      </c>
      <c r="M977" t="str">
        <f t="shared" si="63"/>
        <v>Low Risk</v>
      </c>
    </row>
    <row r="978" spans="1:13" x14ac:dyDescent="0.3">
      <c r="A978">
        <v>64</v>
      </c>
      <c r="B978" t="s">
        <v>1009</v>
      </c>
      <c r="C978">
        <v>2</v>
      </c>
      <c r="D978" t="s">
        <v>1016</v>
      </c>
      <c r="E978" t="s">
        <v>1012</v>
      </c>
      <c r="F978" t="s">
        <v>1013</v>
      </c>
      <c r="G978" s="5">
        <v>753</v>
      </c>
      <c r="H978">
        <v>6</v>
      </c>
      <c r="I978" t="s">
        <v>1023</v>
      </c>
      <c r="J978" t="str">
        <f t="shared" si="60"/>
        <v>Low Risk</v>
      </c>
      <c r="K978" t="str">
        <f t="shared" si="61"/>
        <v>Adult</v>
      </c>
      <c r="L978" t="str">
        <f t="shared" si="62"/>
        <v>Short</v>
      </c>
      <c r="M978" t="str">
        <f t="shared" si="63"/>
        <v>Low Risk</v>
      </c>
    </row>
    <row r="979" spans="1:13" x14ac:dyDescent="0.3">
      <c r="A979">
        <v>42</v>
      </c>
      <c r="B979" t="s">
        <v>1010</v>
      </c>
      <c r="C979">
        <v>2</v>
      </c>
      <c r="D979" t="s">
        <v>1016</v>
      </c>
      <c r="E979" t="s">
        <v>1011</v>
      </c>
      <c r="F979" t="s">
        <v>1013</v>
      </c>
      <c r="G979" s="5">
        <v>2427</v>
      </c>
      <c r="H979">
        <v>18</v>
      </c>
      <c r="I979" t="s">
        <v>1018</v>
      </c>
      <c r="J979" t="str">
        <f t="shared" si="60"/>
        <v>Low Risk</v>
      </c>
      <c r="K979" t="str">
        <f t="shared" si="61"/>
        <v>Senior</v>
      </c>
      <c r="L979" t="str">
        <f t="shared" si="62"/>
        <v>Medium</v>
      </c>
      <c r="M979" t="str">
        <f t="shared" si="63"/>
        <v>Low Risk</v>
      </c>
    </row>
    <row r="980" spans="1:13" x14ac:dyDescent="0.3">
      <c r="A980">
        <v>47</v>
      </c>
      <c r="B980" t="s">
        <v>1010</v>
      </c>
      <c r="C980">
        <v>1</v>
      </c>
      <c r="D980" t="s">
        <v>1016</v>
      </c>
      <c r="E980" t="s">
        <v>1012</v>
      </c>
      <c r="F980" t="s">
        <v>1011</v>
      </c>
      <c r="G980" s="5">
        <v>2538</v>
      </c>
      <c r="H980">
        <v>24</v>
      </c>
      <c r="I980" t="s">
        <v>1019</v>
      </c>
      <c r="J980" t="str">
        <f t="shared" si="60"/>
        <v>Low Risk</v>
      </c>
      <c r="K980" t="str">
        <f t="shared" si="61"/>
        <v>Senior</v>
      </c>
      <c r="L980" t="str">
        <f t="shared" si="62"/>
        <v>Medium</v>
      </c>
      <c r="M980" t="str">
        <f t="shared" si="63"/>
        <v>Low Risk</v>
      </c>
    </row>
    <row r="981" spans="1:13" x14ac:dyDescent="0.3">
      <c r="A981">
        <v>25</v>
      </c>
      <c r="B981" t="s">
        <v>1010</v>
      </c>
      <c r="C981">
        <v>2</v>
      </c>
      <c r="D981" t="s">
        <v>1017</v>
      </c>
      <c r="E981" t="s">
        <v>1013</v>
      </c>
      <c r="F981" t="s">
        <v>1013</v>
      </c>
      <c r="G981" s="5">
        <v>1264</v>
      </c>
      <c r="H981">
        <v>15</v>
      </c>
      <c r="I981" t="s">
        <v>1019</v>
      </c>
      <c r="J981" t="str">
        <f t="shared" si="60"/>
        <v>Low Risk</v>
      </c>
      <c r="K981" t="str">
        <f t="shared" si="61"/>
        <v>Young</v>
      </c>
      <c r="L981" t="str">
        <f t="shared" si="62"/>
        <v>Medium</v>
      </c>
      <c r="M981" t="str">
        <f t="shared" si="63"/>
        <v>Low Risk</v>
      </c>
    </row>
    <row r="982" spans="1:13" x14ac:dyDescent="0.3">
      <c r="A982">
        <v>49</v>
      </c>
      <c r="B982" t="s">
        <v>1010</v>
      </c>
      <c r="C982">
        <v>2</v>
      </c>
      <c r="D982" t="s">
        <v>1016</v>
      </c>
      <c r="E982" t="s">
        <v>1012</v>
      </c>
      <c r="F982" t="s">
        <v>1013</v>
      </c>
      <c r="G982" s="5">
        <v>8386</v>
      </c>
      <c r="H982">
        <v>30</v>
      </c>
      <c r="I982" t="s">
        <v>1022</v>
      </c>
      <c r="J982" t="str">
        <f t="shared" si="60"/>
        <v>High Risk</v>
      </c>
      <c r="K982" t="str">
        <f t="shared" si="61"/>
        <v>Senior</v>
      </c>
      <c r="L982" t="str">
        <f t="shared" si="62"/>
        <v>Medium</v>
      </c>
      <c r="M982" t="str">
        <f t="shared" si="63"/>
        <v>HighRisk</v>
      </c>
    </row>
    <row r="983" spans="1:13" x14ac:dyDescent="0.3">
      <c r="A983">
        <v>33</v>
      </c>
      <c r="B983" t="s">
        <v>1010</v>
      </c>
      <c r="C983">
        <v>3</v>
      </c>
      <c r="D983" t="s">
        <v>1017</v>
      </c>
      <c r="E983" t="s">
        <v>1012</v>
      </c>
      <c r="F983" t="s">
        <v>1011</v>
      </c>
      <c r="G983" s="5">
        <v>4844</v>
      </c>
      <c r="H983">
        <v>48</v>
      </c>
      <c r="I983" t="s">
        <v>1018</v>
      </c>
      <c r="J983" t="str">
        <f t="shared" si="60"/>
        <v>High Risk</v>
      </c>
      <c r="K983" t="str">
        <f t="shared" si="61"/>
        <v>Senior</v>
      </c>
      <c r="L983" t="str">
        <f t="shared" si="62"/>
        <v>Long</v>
      </c>
      <c r="M983" t="str">
        <f t="shared" si="63"/>
        <v>Medium Risk</v>
      </c>
    </row>
    <row r="984" spans="1:13" x14ac:dyDescent="0.3">
      <c r="A984">
        <v>28</v>
      </c>
      <c r="B984" t="s">
        <v>1009</v>
      </c>
      <c r="C984">
        <v>3</v>
      </c>
      <c r="D984" t="s">
        <v>1016</v>
      </c>
      <c r="E984" t="s">
        <v>1013</v>
      </c>
      <c r="F984" t="s">
        <v>1008</v>
      </c>
      <c r="G984" s="5">
        <v>2923</v>
      </c>
      <c r="H984">
        <v>21</v>
      </c>
      <c r="I984" t="s">
        <v>1019</v>
      </c>
      <c r="J984" t="str">
        <f t="shared" si="60"/>
        <v>Low Risk</v>
      </c>
      <c r="K984" t="str">
        <f t="shared" si="61"/>
        <v>Young</v>
      </c>
      <c r="L984" t="str">
        <f t="shared" si="62"/>
        <v>Medium</v>
      </c>
      <c r="M984" t="str">
        <f t="shared" si="63"/>
        <v>Low Risk</v>
      </c>
    </row>
    <row r="985" spans="1:13" x14ac:dyDescent="0.3">
      <c r="A985">
        <v>26</v>
      </c>
      <c r="B985" t="s">
        <v>1010</v>
      </c>
      <c r="C985">
        <v>2</v>
      </c>
      <c r="D985" t="s">
        <v>1016</v>
      </c>
      <c r="E985" t="s">
        <v>1012</v>
      </c>
      <c r="F985" t="s">
        <v>1012</v>
      </c>
      <c r="G985" s="5">
        <v>8229</v>
      </c>
      <c r="H985">
        <v>36</v>
      </c>
      <c r="I985" t="s">
        <v>1019</v>
      </c>
      <c r="J985" t="str">
        <f t="shared" si="60"/>
        <v>High Risk</v>
      </c>
      <c r="K985" t="str">
        <f t="shared" si="61"/>
        <v>Young</v>
      </c>
      <c r="L985" t="str">
        <f t="shared" si="62"/>
        <v>Long</v>
      </c>
      <c r="M985" t="str">
        <f t="shared" si="63"/>
        <v>HighRisk</v>
      </c>
    </row>
    <row r="986" spans="1:13" x14ac:dyDescent="0.3">
      <c r="A986">
        <v>30</v>
      </c>
      <c r="B986" t="s">
        <v>1010</v>
      </c>
      <c r="C986">
        <v>1</v>
      </c>
      <c r="D986" t="s">
        <v>1016</v>
      </c>
      <c r="E986" t="s">
        <v>1012</v>
      </c>
      <c r="F986" t="s">
        <v>1011</v>
      </c>
      <c r="G986" s="5">
        <v>2028</v>
      </c>
      <c r="H986">
        <v>24</v>
      </c>
      <c r="I986" t="s">
        <v>1022</v>
      </c>
      <c r="J986" t="str">
        <f t="shared" si="60"/>
        <v>Low Risk</v>
      </c>
      <c r="K986" t="str">
        <f t="shared" si="61"/>
        <v>Senior</v>
      </c>
      <c r="L986" t="str">
        <f t="shared" si="62"/>
        <v>Medium</v>
      </c>
      <c r="M986" t="str">
        <f t="shared" si="63"/>
        <v>Low Risk</v>
      </c>
    </row>
    <row r="987" spans="1:13" x14ac:dyDescent="0.3">
      <c r="A987">
        <v>25</v>
      </c>
      <c r="B987" t="s">
        <v>1009</v>
      </c>
      <c r="C987">
        <v>2</v>
      </c>
      <c r="D987" t="s">
        <v>1017</v>
      </c>
      <c r="E987" t="s">
        <v>1012</v>
      </c>
      <c r="F987" t="s">
        <v>1012</v>
      </c>
      <c r="G987" s="5">
        <v>1433</v>
      </c>
      <c r="H987">
        <v>15</v>
      </c>
      <c r="I987" t="s">
        <v>1022</v>
      </c>
      <c r="J987" t="str">
        <f t="shared" si="60"/>
        <v>Low Risk</v>
      </c>
      <c r="K987" t="str">
        <f t="shared" si="61"/>
        <v>Young</v>
      </c>
      <c r="L987" t="str">
        <f t="shared" si="62"/>
        <v>Medium</v>
      </c>
      <c r="M987" t="str">
        <f t="shared" si="63"/>
        <v>Low Risk</v>
      </c>
    </row>
    <row r="988" spans="1:13" x14ac:dyDescent="0.3">
      <c r="A988">
        <v>33</v>
      </c>
      <c r="B988" t="s">
        <v>1010</v>
      </c>
      <c r="C988">
        <v>2</v>
      </c>
      <c r="D988" t="s">
        <v>1016</v>
      </c>
      <c r="E988" t="s">
        <v>1012</v>
      </c>
      <c r="F988" t="s">
        <v>1008</v>
      </c>
      <c r="G988" s="5">
        <v>6289</v>
      </c>
      <c r="H988">
        <v>42</v>
      </c>
      <c r="I988" t="s">
        <v>1018</v>
      </c>
      <c r="J988" t="str">
        <f t="shared" si="60"/>
        <v>High Risk</v>
      </c>
      <c r="K988" t="str">
        <f t="shared" si="61"/>
        <v>Senior</v>
      </c>
      <c r="L988" t="str">
        <f t="shared" si="62"/>
        <v>Long</v>
      </c>
      <c r="M988" t="str">
        <f t="shared" si="63"/>
        <v>HighRisk</v>
      </c>
    </row>
    <row r="989" spans="1:13" x14ac:dyDescent="0.3">
      <c r="A989">
        <v>64</v>
      </c>
      <c r="B989" t="s">
        <v>1009</v>
      </c>
      <c r="C989">
        <v>2</v>
      </c>
      <c r="D989" t="s">
        <v>1016</v>
      </c>
      <c r="E989" t="s">
        <v>1013</v>
      </c>
      <c r="F989" t="s">
        <v>1011</v>
      </c>
      <c r="G989" s="5">
        <v>1409</v>
      </c>
      <c r="H989">
        <v>13</v>
      </c>
      <c r="I989" t="s">
        <v>1023</v>
      </c>
      <c r="J989" t="str">
        <f t="shared" si="60"/>
        <v>Low Risk</v>
      </c>
      <c r="K989" t="str">
        <f t="shared" si="61"/>
        <v>Adult</v>
      </c>
      <c r="L989" t="str">
        <f t="shared" si="62"/>
        <v>Medium</v>
      </c>
      <c r="M989" t="str">
        <f t="shared" si="63"/>
        <v>Low Risk</v>
      </c>
    </row>
    <row r="990" spans="1:13" x14ac:dyDescent="0.3">
      <c r="A990">
        <v>29</v>
      </c>
      <c r="B990" t="s">
        <v>1010</v>
      </c>
      <c r="C990">
        <v>3</v>
      </c>
      <c r="D990" t="s">
        <v>1015</v>
      </c>
      <c r="E990" t="s">
        <v>1012</v>
      </c>
      <c r="F990" t="s">
        <v>1012</v>
      </c>
      <c r="G990" s="5">
        <v>6579</v>
      </c>
      <c r="H990">
        <v>24</v>
      </c>
      <c r="I990" t="s">
        <v>1019</v>
      </c>
      <c r="J990" t="str">
        <f t="shared" si="60"/>
        <v>Low Risk</v>
      </c>
      <c r="K990" t="str">
        <f t="shared" si="61"/>
        <v>Young</v>
      </c>
      <c r="L990" t="str">
        <f t="shared" si="62"/>
        <v>Medium</v>
      </c>
      <c r="M990" t="str">
        <f t="shared" si="63"/>
        <v>HighRisk</v>
      </c>
    </row>
    <row r="991" spans="1:13" x14ac:dyDescent="0.3">
      <c r="A991">
        <v>48</v>
      </c>
      <c r="B991" t="s">
        <v>1010</v>
      </c>
      <c r="C991">
        <v>1</v>
      </c>
      <c r="D991" t="s">
        <v>1016</v>
      </c>
      <c r="E991" t="s">
        <v>1012</v>
      </c>
      <c r="F991" t="s">
        <v>1013</v>
      </c>
      <c r="G991" s="5">
        <v>1743</v>
      </c>
      <c r="H991">
        <v>24</v>
      </c>
      <c r="I991" t="s">
        <v>1023</v>
      </c>
      <c r="J991" t="str">
        <f t="shared" si="60"/>
        <v>Low Risk</v>
      </c>
      <c r="K991" t="str">
        <f t="shared" si="61"/>
        <v>Senior</v>
      </c>
      <c r="L991" t="str">
        <f t="shared" si="62"/>
        <v>Medium</v>
      </c>
      <c r="M991" t="str">
        <f t="shared" si="63"/>
        <v>Low Risk</v>
      </c>
    </row>
    <row r="992" spans="1:13" x14ac:dyDescent="0.3">
      <c r="A992">
        <v>37</v>
      </c>
      <c r="B992" t="s">
        <v>1010</v>
      </c>
      <c r="C992">
        <v>1</v>
      </c>
      <c r="D992" t="s">
        <v>1016</v>
      </c>
      <c r="E992" t="s">
        <v>1011</v>
      </c>
      <c r="F992" t="s">
        <v>1011</v>
      </c>
      <c r="G992" s="5">
        <v>3565</v>
      </c>
      <c r="H992">
        <v>12</v>
      </c>
      <c r="I992" t="s">
        <v>1021</v>
      </c>
      <c r="J992" t="str">
        <f t="shared" si="60"/>
        <v>Low Risk</v>
      </c>
      <c r="K992" t="str">
        <f t="shared" si="61"/>
        <v>Senior</v>
      </c>
      <c r="L992" t="str">
        <f t="shared" si="62"/>
        <v>Medium</v>
      </c>
      <c r="M992" t="str">
        <f t="shared" si="63"/>
        <v>Medium Risk</v>
      </c>
    </row>
    <row r="993" spans="1:13" x14ac:dyDescent="0.3">
      <c r="A993">
        <v>34</v>
      </c>
      <c r="B993" t="s">
        <v>1010</v>
      </c>
      <c r="C993">
        <v>1</v>
      </c>
      <c r="D993" t="s">
        <v>1016</v>
      </c>
      <c r="E993" t="s">
        <v>1013</v>
      </c>
      <c r="F993" t="s">
        <v>1011</v>
      </c>
      <c r="G993" s="5">
        <v>1569</v>
      </c>
      <c r="H993">
        <v>15</v>
      </c>
      <c r="I993" t="s">
        <v>1023</v>
      </c>
      <c r="J993" t="str">
        <f t="shared" si="60"/>
        <v>Low Risk</v>
      </c>
      <c r="K993" t="str">
        <f t="shared" si="61"/>
        <v>Senior</v>
      </c>
      <c r="L993" t="str">
        <f t="shared" si="62"/>
        <v>Medium</v>
      </c>
      <c r="M993" t="str">
        <f t="shared" si="63"/>
        <v>Low Risk</v>
      </c>
    </row>
    <row r="994" spans="1:13" x14ac:dyDescent="0.3">
      <c r="A994">
        <v>23</v>
      </c>
      <c r="B994" t="s">
        <v>1010</v>
      </c>
      <c r="C994">
        <v>1</v>
      </c>
      <c r="D994" t="s">
        <v>1017</v>
      </c>
      <c r="E994" t="s">
        <v>1011</v>
      </c>
      <c r="F994" t="s">
        <v>1012</v>
      </c>
      <c r="G994" s="5">
        <v>1936</v>
      </c>
      <c r="H994">
        <v>18</v>
      </c>
      <c r="I994" t="s">
        <v>1023</v>
      </c>
      <c r="J994" t="str">
        <f t="shared" si="60"/>
        <v>Low Risk</v>
      </c>
      <c r="K994" t="str">
        <f t="shared" si="61"/>
        <v>Young</v>
      </c>
      <c r="L994" t="str">
        <f t="shared" si="62"/>
        <v>Medium</v>
      </c>
      <c r="M994" t="str">
        <f t="shared" si="63"/>
        <v>Low Risk</v>
      </c>
    </row>
    <row r="995" spans="1:13" x14ac:dyDescent="0.3">
      <c r="A995">
        <v>30</v>
      </c>
      <c r="B995" t="s">
        <v>1010</v>
      </c>
      <c r="C995">
        <v>3</v>
      </c>
      <c r="D995" t="s">
        <v>1016</v>
      </c>
      <c r="E995" t="s">
        <v>1012</v>
      </c>
      <c r="F995" t="s">
        <v>1012</v>
      </c>
      <c r="G995" s="5">
        <v>3959</v>
      </c>
      <c r="H995">
        <v>36</v>
      </c>
      <c r="I995" t="s">
        <v>1022</v>
      </c>
      <c r="J995" t="str">
        <f t="shared" si="60"/>
        <v>Low Risk</v>
      </c>
      <c r="K995" t="str">
        <f t="shared" si="61"/>
        <v>Senior</v>
      </c>
      <c r="L995" t="str">
        <f t="shared" si="62"/>
        <v>Long</v>
      </c>
      <c r="M995" t="str">
        <f t="shared" si="63"/>
        <v>Medium Risk</v>
      </c>
    </row>
    <row r="996" spans="1:13" x14ac:dyDescent="0.3">
      <c r="A996">
        <v>50</v>
      </c>
      <c r="B996" t="s">
        <v>1010</v>
      </c>
      <c r="C996">
        <v>2</v>
      </c>
      <c r="D996" t="s">
        <v>1016</v>
      </c>
      <c r="E996" t="s">
        <v>1011</v>
      </c>
      <c r="F996" t="s">
        <v>1011</v>
      </c>
      <c r="G996" s="5">
        <v>2390</v>
      </c>
      <c r="H996">
        <v>12</v>
      </c>
      <c r="I996" t="s">
        <v>1019</v>
      </c>
      <c r="J996" t="str">
        <f t="shared" si="60"/>
        <v>Low Risk</v>
      </c>
      <c r="K996" t="str">
        <f t="shared" si="61"/>
        <v>Senior</v>
      </c>
      <c r="L996" t="str">
        <f t="shared" si="62"/>
        <v>Medium</v>
      </c>
      <c r="M996" t="str">
        <f t="shared" si="63"/>
        <v>Low Risk</v>
      </c>
    </row>
    <row r="997" spans="1:13" x14ac:dyDescent="0.3">
      <c r="A997">
        <v>31</v>
      </c>
      <c r="B997" t="s">
        <v>1009</v>
      </c>
      <c r="C997">
        <v>1</v>
      </c>
      <c r="D997" t="s">
        <v>1016</v>
      </c>
      <c r="E997" t="s">
        <v>1012</v>
      </c>
      <c r="F997" t="s">
        <v>1011</v>
      </c>
      <c r="G997" s="5">
        <v>1736</v>
      </c>
      <c r="H997">
        <v>12</v>
      </c>
      <c r="I997" t="s">
        <v>1022</v>
      </c>
      <c r="J997" t="str">
        <f t="shared" si="60"/>
        <v>Low Risk</v>
      </c>
      <c r="K997" t="str">
        <f t="shared" si="61"/>
        <v>Senior</v>
      </c>
      <c r="L997" t="str">
        <f t="shared" si="62"/>
        <v>Medium</v>
      </c>
      <c r="M997" t="str">
        <f t="shared" si="63"/>
        <v>Low Risk</v>
      </c>
    </row>
    <row r="998" spans="1:13" x14ac:dyDescent="0.3">
      <c r="A998">
        <v>40</v>
      </c>
      <c r="B998" t="s">
        <v>1010</v>
      </c>
      <c r="C998">
        <v>3</v>
      </c>
      <c r="D998" t="s">
        <v>1016</v>
      </c>
      <c r="E998" t="s">
        <v>1012</v>
      </c>
      <c r="F998" t="s">
        <v>1012</v>
      </c>
      <c r="G998" s="5">
        <v>3857</v>
      </c>
      <c r="H998">
        <v>30</v>
      </c>
      <c r="I998" t="s">
        <v>1019</v>
      </c>
      <c r="J998" t="str">
        <f t="shared" si="60"/>
        <v>Low Risk</v>
      </c>
      <c r="K998" t="str">
        <f t="shared" si="61"/>
        <v>Senior</v>
      </c>
      <c r="L998" t="str">
        <f t="shared" si="62"/>
        <v>Medium</v>
      </c>
      <c r="M998" t="str">
        <f t="shared" si="63"/>
        <v>Medium Risk</v>
      </c>
    </row>
    <row r="999" spans="1:13" x14ac:dyDescent="0.3">
      <c r="A999">
        <v>38</v>
      </c>
      <c r="B999" t="s">
        <v>1010</v>
      </c>
      <c r="C999">
        <v>2</v>
      </c>
      <c r="D999" t="s">
        <v>1016</v>
      </c>
      <c r="E999" t="s">
        <v>1012</v>
      </c>
      <c r="F999" t="s">
        <v>1011</v>
      </c>
      <c r="G999" s="5">
        <v>804</v>
      </c>
      <c r="H999">
        <v>12</v>
      </c>
      <c r="I999" t="s">
        <v>1023</v>
      </c>
      <c r="J999" t="str">
        <f t="shared" si="60"/>
        <v>Low Risk</v>
      </c>
      <c r="K999" t="str">
        <f t="shared" si="61"/>
        <v>Senior</v>
      </c>
      <c r="L999" t="str">
        <f t="shared" si="62"/>
        <v>Medium</v>
      </c>
      <c r="M999" t="str">
        <f t="shared" si="63"/>
        <v>Low Risk</v>
      </c>
    </row>
    <row r="1000" spans="1:13" x14ac:dyDescent="0.3">
      <c r="A1000">
        <v>23</v>
      </c>
      <c r="B1000" t="s">
        <v>1010</v>
      </c>
      <c r="C1000">
        <v>2</v>
      </c>
      <c r="D1000" t="s">
        <v>1015</v>
      </c>
      <c r="E1000" t="s">
        <v>1012</v>
      </c>
      <c r="F1000" t="s">
        <v>1012</v>
      </c>
      <c r="G1000" s="5">
        <v>1845</v>
      </c>
      <c r="H1000">
        <v>45</v>
      </c>
      <c r="I1000" t="s">
        <v>1023</v>
      </c>
      <c r="J1000" t="str">
        <f t="shared" si="60"/>
        <v>High Risk</v>
      </c>
      <c r="K1000" t="str">
        <f t="shared" si="61"/>
        <v>Young</v>
      </c>
      <c r="L1000" t="str">
        <f t="shared" si="62"/>
        <v>Long</v>
      </c>
      <c r="M1000" t="str">
        <f t="shared" si="63"/>
        <v>Low Risk</v>
      </c>
    </row>
    <row r="1001" spans="1:13" x14ac:dyDescent="0.3">
      <c r="A1001">
        <v>27</v>
      </c>
      <c r="B1001" t="s">
        <v>1010</v>
      </c>
      <c r="C1001">
        <v>2</v>
      </c>
      <c r="D1001" t="s">
        <v>1016</v>
      </c>
      <c r="E1001" t="s">
        <v>1013</v>
      </c>
      <c r="F1001" t="s">
        <v>1013</v>
      </c>
      <c r="G1001" s="5">
        <v>4576</v>
      </c>
      <c r="H1001">
        <v>45</v>
      </c>
      <c r="I1001" t="s">
        <v>1019</v>
      </c>
      <c r="J1001" t="str">
        <f t="shared" si="60"/>
        <v>High Risk</v>
      </c>
      <c r="K1001" t="str">
        <f t="shared" si="61"/>
        <v>Young</v>
      </c>
      <c r="L1001" t="str">
        <f t="shared" si="62"/>
        <v>Long</v>
      </c>
      <c r="M1001" t="str">
        <f t="shared" si="63"/>
        <v>Medium Risk</v>
      </c>
    </row>
  </sheetData>
  <autoFilter ref="A1:I1001" xr:uid="{82BC969E-30A3-46FD-BD7F-6D8862490A0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27878-C3F7-4984-AF3C-EB1DD494DEE2}">
  <dimension ref="A3:E64"/>
  <sheetViews>
    <sheetView workbookViewId="0">
      <selection activeCell="P6" sqref="P6"/>
    </sheetView>
  </sheetViews>
  <sheetFormatPr defaultRowHeight="14.4" x14ac:dyDescent="0.3"/>
  <cols>
    <col min="1" max="1" width="18" bestFit="1" customWidth="1"/>
    <col min="2" max="2" width="15.5546875" bestFit="1" customWidth="1"/>
    <col min="3" max="3" width="8.109375" bestFit="1" customWidth="1"/>
    <col min="4" max="4" width="11.6640625" bestFit="1" customWidth="1"/>
    <col min="5" max="5" width="10.5546875" bestFit="1" customWidth="1"/>
  </cols>
  <sheetData>
    <row r="3" spans="1:2" x14ac:dyDescent="0.3">
      <c r="A3" s="2" t="s">
        <v>1031</v>
      </c>
      <c r="B3" t="s">
        <v>1036</v>
      </c>
    </row>
    <row r="4" spans="1:2" x14ac:dyDescent="0.3">
      <c r="A4" s="3" t="s">
        <v>1033</v>
      </c>
      <c r="B4" s="11">
        <v>811</v>
      </c>
    </row>
    <row r="5" spans="1:2" x14ac:dyDescent="0.3">
      <c r="A5" s="3" t="s">
        <v>1034</v>
      </c>
      <c r="B5" s="11">
        <v>40</v>
      </c>
    </row>
    <row r="6" spans="1:2" x14ac:dyDescent="0.3">
      <c r="A6" s="3" t="s">
        <v>1032</v>
      </c>
      <c r="B6" s="11">
        <v>149</v>
      </c>
    </row>
    <row r="7" spans="1:2" x14ac:dyDescent="0.3">
      <c r="A7" s="3" t="s">
        <v>1035</v>
      </c>
      <c r="B7" s="11">
        <v>1000</v>
      </c>
    </row>
    <row r="23" spans="1:5" x14ac:dyDescent="0.3">
      <c r="A23" s="2" t="s">
        <v>1036</v>
      </c>
      <c r="B23" s="2" t="s">
        <v>1040</v>
      </c>
    </row>
    <row r="24" spans="1:5" x14ac:dyDescent="0.3">
      <c r="A24" s="2" t="s">
        <v>1031</v>
      </c>
      <c r="B24" t="s">
        <v>1033</v>
      </c>
      <c r="C24" t="s">
        <v>1034</v>
      </c>
      <c r="D24" t="s">
        <v>1032</v>
      </c>
      <c r="E24" t="s">
        <v>1035</v>
      </c>
    </row>
    <row r="25" spans="1:5" x14ac:dyDescent="0.3">
      <c r="A25" s="3" t="s">
        <v>1037</v>
      </c>
      <c r="B25" s="11">
        <v>94</v>
      </c>
      <c r="C25" s="11"/>
      <c r="D25" s="11">
        <v>19</v>
      </c>
      <c r="E25" s="11">
        <v>113</v>
      </c>
    </row>
    <row r="26" spans="1:5" x14ac:dyDescent="0.3">
      <c r="A26" s="3" t="s">
        <v>1038</v>
      </c>
      <c r="B26" s="11">
        <v>414</v>
      </c>
      <c r="C26" s="11">
        <v>22</v>
      </c>
      <c r="D26" s="11">
        <v>80</v>
      </c>
      <c r="E26" s="11">
        <v>516</v>
      </c>
    </row>
    <row r="27" spans="1:5" x14ac:dyDescent="0.3">
      <c r="A27" s="3" t="s">
        <v>1039</v>
      </c>
      <c r="B27" s="11">
        <v>303</v>
      </c>
      <c r="C27" s="11">
        <v>18</v>
      </c>
      <c r="D27" s="11">
        <v>50</v>
      </c>
      <c r="E27" s="11">
        <v>371</v>
      </c>
    </row>
    <row r="28" spans="1:5" x14ac:dyDescent="0.3">
      <c r="A28" s="3" t="s">
        <v>1035</v>
      </c>
      <c r="B28" s="11">
        <v>811</v>
      </c>
      <c r="C28" s="11">
        <v>40</v>
      </c>
      <c r="D28" s="11">
        <v>149</v>
      </c>
      <c r="E28" s="11">
        <v>1000</v>
      </c>
    </row>
    <row r="37" spans="1:5" x14ac:dyDescent="0.3">
      <c r="A37" s="2" t="s">
        <v>1036</v>
      </c>
      <c r="B37" s="2" t="s">
        <v>1040</v>
      </c>
    </row>
    <row r="38" spans="1:5" x14ac:dyDescent="0.3">
      <c r="A38" s="2" t="s">
        <v>1031</v>
      </c>
      <c r="B38" t="s">
        <v>1032</v>
      </c>
      <c r="C38" t="s">
        <v>1033</v>
      </c>
      <c r="D38" t="s">
        <v>1034</v>
      </c>
      <c r="E38" t="s">
        <v>1035</v>
      </c>
    </row>
    <row r="39" spans="1:5" x14ac:dyDescent="0.3">
      <c r="A39" s="3" t="s">
        <v>1042</v>
      </c>
      <c r="B39" s="11">
        <v>4</v>
      </c>
      <c r="C39" s="11">
        <v>176</v>
      </c>
      <c r="D39" s="11"/>
      <c r="E39" s="11">
        <v>180</v>
      </c>
    </row>
    <row r="40" spans="1:5" x14ac:dyDescent="0.3">
      <c r="A40" s="3" t="s">
        <v>1043</v>
      </c>
      <c r="B40" s="11">
        <v>30</v>
      </c>
      <c r="C40" s="11">
        <v>600</v>
      </c>
      <c r="D40" s="11">
        <v>20</v>
      </c>
      <c r="E40" s="11">
        <v>650</v>
      </c>
    </row>
    <row r="41" spans="1:5" x14ac:dyDescent="0.3">
      <c r="A41" s="3" t="s">
        <v>1044</v>
      </c>
      <c r="B41" s="11">
        <v>115</v>
      </c>
      <c r="C41" s="11">
        <v>35</v>
      </c>
      <c r="D41" s="11">
        <v>20</v>
      </c>
      <c r="E41" s="11">
        <v>170</v>
      </c>
    </row>
    <row r="42" spans="1:5" x14ac:dyDescent="0.3">
      <c r="A42" s="3" t="s">
        <v>1035</v>
      </c>
      <c r="B42" s="11">
        <v>149</v>
      </c>
      <c r="C42" s="11">
        <v>811</v>
      </c>
      <c r="D42" s="11">
        <v>40</v>
      </c>
      <c r="E42" s="11">
        <v>1000</v>
      </c>
    </row>
    <row r="54" spans="1:5" x14ac:dyDescent="0.3">
      <c r="A54" s="2" t="s">
        <v>1036</v>
      </c>
      <c r="B54" s="2" t="s">
        <v>1040</v>
      </c>
    </row>
    <row r="55" spans="1:5" x14ac:dyDescent="0.3">
      <c r="A55" s="2" t="s">
        <v>1031</v>
      </c>
      <c r="B55" t="s">
        <v>1032</v>
      </c>
      <c r="C55" t="s">
        <v>1033</v>
      </c>
      <c r="D55" t="s">
        <v>1034</v>
      </c>
      <c r="E55" t="s">
        <v>1035</v>
      </c>
    </row>
    <row r="56" spans="1:5" x14ac:dyDescent="0.3">
      <c r="A56" s="3" t="s">
        <v>1018</v>
      </c>
      <c r="B56" s="11">
        <v>26</v>
      </c>
      <c r="C56" s="11">
        <v>63</v>
      </c>
      <c r="D56" s="11">
        <v>8</v>
      </c>
      <c r="E56" s="11">
        <v>97</v>
      </c>
    </row>
    <row r="57" spans="1:5" x14ac:dyDescent="0.3">
      <c r="A57" s="3" t="s">
        <v>1019</v>
      </c>
      <c r="B57" s="11">
        <v>65</v>
      </c>
      <c r="C57" s="11">
        <v>259</v>
      </c>
      <c r="D57" s="11">
        <v>13</v>
      </c>
      <c r="E57" s="11">
        <v>337</v>
      </c>
    </row>
    <row r="58" spans="1:5" x14ac:dyDescent="0.3">
      <c r="A58" s="3" t="s">
        <v>1020</v>
      </c>
      <c r="B58" s="11">
        <v>1</v>
      </c>
      <c r="C58" s="11">
        <v>11</v>
      </c>
      <c r="D58" s="11"/>
      <c r="E58" s="11">
        <v>12</v>
      </c>
    </row>
    <row r="59" spans="1:5" x14ac:dyDescent="0.3">
      <c r="A59" s="3" t="s">
        <v>1021</v>
      </c>
      <c r="B59" s="11">
        <v>10</v>
      </c>
      <c r="C59" s="11">
        <v>48</v>
      </c>
      <c r="D59" s="11">
        <v>1</v>
      </c>
      <c r="E59" s="11">
        <v>59</v>
      </c>
    </row>
    <row r="60" spans="1:5" x14ac:dyDescent="0.3">
      <c r="A60" s="3" t="s">
        <v>1022</v>
      </c>
      <c r="B60" s="11">
        <v>14</v>
      </c>
      <c r="C60" s="11">
        <v>160</v>
      </c>
      <c r="D60" s="11">
        <v>7</v>
      </c>
      <c r="E60" s="11">
        <v>181</v>
      </c>
    </row>
    <row r="61" spans="1:5" x14ac:dyDescent="0.3">
      <c r="A61" s="3" t="s">
        <v>1023</v>
      </c>
      <c r="B61" s="11">
        <v>24</v>
      </c>
      <c r="C61" s="11">
        <v>246</v>
      </c>
      <c r="D61" s="11">
        <v>10</v>
      </c>
      <c r="E61" s="11">
        <v>280</v>
      </c>
    </row>
    <row r="62" spans="1:5" x14ac:dyDescent="0.3">
      <c r="A62" s="3" t="s">
        <v>1024</v>
      </c>
      <c r="B62" s="11">
        <v>2</v>
      </c>
      <c r="C62" s="11">
        <v>19</v>
      </c>
      <c r="D62" s="11">
        <v>1</v>
      </c>
      <c r="E62" s="11">
        <v>22</v>
      </c>
    </row>
    <row r="63" spans="1:5" x14ac:dyDescent="0.3">
      <c r="A63" s="3" t="s">
        <v>1025</v>
      </c>
      <c r="B63" s="11">
        <v>7</v>
      </c>
      <c r="C63" s="11">
        <v>5</v>
      </c>
      <c r="D63" s="11"/>
      <c r="E63" s="11">
        <v>12</v>
      </c>
    </row>
    <row r="64" spans="1:5" x14ac:dyDescent="0.3">
      <c r="A64" s="3" t="s">
        <v>1035</v>
      </c>
      <c r="B64" s="11">
        <v>149</v>
      </c>
      <c r="C64" s="11">
        <v>811</v>
      </c>
      <c r="D64" s="11">
        <v>40</v>
      </c>
      <c r="E64" s="11">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75D70-1F46-4F67-B282-F8D7DB4457EE}">
  <dimension ref="A1:T52"/>
  <sheetViews>
    <sheetView showGridLines="0" tabSelected="1" topLeftCell="A25" zoomScale="94" zoomScaleNormal="94" workbookViewId="0">
      <selection activeCell="I49" sqref="I49"/>
    </sheetView>
  </sheetViews>
  <sheetFormatPr defaultRowHeight="14.4" x14ac:dyDescent="0.3"/>
  <cols>
    <col min="16" max="16" width="8.88671875" customWidth="1"/>
    <col min="18" max="18" width="21.33203125" bestFit="1" customWidth="1"/>
    <col min="19" max="19" width="16.6640625" bestFit="1" customWidth="1"/>
    <col min="20" max="20" width="14.44140625" bestFit="1" customWidth="1"/>
    <col min="21" max="21" width="16.88671875" customWidth="1"/>
    <col min="22" max="22" width="14.77734375" customWidth="1"/>
  </cols>
  <sheetData>
    <row r="1" spans="1:20" x14ac:dyDescent="0.3">
      <c r="A1" s="13" t="s">
        <v>1045</v>
      </c>
      <c r="B1" s="14"/>
      <c r="C1" s="14"/>
      <c r="D1" s="14"/>
      <c r="E1" s="14"/>
      <c r="F1" s="14"/>
      <c r="G1" s="14"/>
      <c r="H1" s="14"/>
      <c r="I1" s="14"/>
      <c r="J1" s="14"/>
      <c r="K1" s="14"/>
      <c r="L1" s="14"/>
      <c r="M1" s="14"/>
      <c r="N1" s="14"/>
    </row>
    <row r="2" spans="1:20" x14ac:dyDescent="0.3">
      <c r="A2" s="14"/>
      <c r="B2" s="14"/>
      <c r="C2" s="14"/>
      <c r="D2" s="14"/>
      <c r="E2" s="14"/>
      <c r="F2" s="14"/>
      <c r="G2" s="14"/>
      <c r="H2" s="14"/>
      <c r="I2" s="14"/>
      <c r="J2" s="14"/>
      <c r="K2" s="14"/>
      <c r="L2" s="14"/>
      <c r="M2" s="14"/>
      <c r="N2" s="14"/>
    </row>
    <row r="3" spans="1:20" x14ac:dyDescent="0.3">
      <c r="A3" s="14"/>
      <c r="B3" s="14"/>
      <c r="C3" s="14"/>
      <c r="D3" s="14"/>
      <c r="E3" s="14"/>
      <c r="F3" s="14"/>
      <c r="G3" s="14"/>
      <c r="H3" s="14"/>
      <c r="I3" s="14"/>
      <c r="J3" s="14"/>
      <c r="K3" s="14"/>
      <c r="L3" s="14"/>
      <c r="M3" s="14"/>
      <c r="N3" s="14"/>
    </row>
    <row r="6" spans="1:20" ht="15" x14ac:dyDescent="0.35">
      <c r="F6" s="15" t="s">
        <v>1046</v>
      </c>
      <c r="G6" s="16"/>
      <c r="H6" s="16"/>
      <c r="I6" s="16"/>
      <c r="J6" s="16"/>
      <c r="K6" s="16"/>
      <c r="L6" s="16"/>
      <c r="M6" s="16"/>
      <c r="N6" s="16"/>
      <c r="O6" s="16"/>
    </row>
    <row r="8" spans="1:20" x14ac:dyDescent="0.3">
      <c r="R8" s="7" t="s">
        <v>1057</v>
      </c>
      <c r="S8" s="7" t="s">
        <v>1058</v>
      </c>
      <c r="T8" s="9" t="s">
        <v>1059</v>
      </c>
    </row>
    <row r="9" spans="1:20" x14ac:dyDescent="0.3">
      <c r="R9" s="8" t="str">
        <f>'KPI '!A9</f>
        <v>High Risk Customers</v>
      </c>
      <c r="S9" s="8">
        <f>'KPI '!B9</f>
        <v>149</v>
      </c>
      <c r="T9" s="10">
        <f>Table6[[#This Row],[Percentages %]]</f>
        <v>0.14899999999999999</v>
      </c>
    </row>
    <row r="10" spans="1:20" x14ac:dyDescent="0.3">
      <c r="R10" s="8" t="str">
        <f>'KPI '!A10</f>
        <v>Medium Risk Customers</v>
      </c>
      <c r="S10" s="8">
        <f>'KPI '!B10</f>
        <v>40</v>
      </c>
      <c r="T10" s="10">
        <f>Table6[[#This Row],[Percentages %]]</f>
        <v>0.04</v>
      </c>
    </row>
    <row r="11" spans="1:20" x14ac:dyDescent="0.3">
      <c r="R11" s="8" t="str">
        <f>'KPI '!A11</f>
        <v>Low Risk Customers</v>
      </c>
      <c r="S11" s="8">
        <f>'KPI '!B11</f>
        <v>811</v>
      </c>
      <c r="T11" s="10">
        <f>Table6[[#This Row],[Percentages %]]</f>
        <v>0.81100000000000005</v>
      </c>
    </row>
    <row r="19" spans="11:11" x14ac:dyDescent="0.3">
      <c r="K19" s="7"/>
    </row>
    <row r="46" spans="1:11" ht="14.4" customHeight="1" x14ac:dyDescent="0.3">
      <c r="A46" s="17" t="s">
        <v>1060</v>
      </c>
      <c r="B46" s="17"/>
      <c r="C46" s="17"/>
      <c r="D46" s="17"/>
      <c r="E46" s="17"/>
      <c r="F46" s="17"/>
      <c r="G46" s="17"/>
      <c r="H46" s="18"/>
      <c r="I46" s="18"/>
      <c r="J46" s="18"/>
      <c r="K46" s="18"/>
    </row>
    <row r="47" spans="1:11" x14ac:dyDescent="0.3">
      <c r="A47" s="17"/>
      <c r="B47" s="17"/>
      <c r="C47" s="17"/>
      <c r="D47" s="17"/>
      <c r="E47" s="17"/>
      <c r="F47" s="17"/>
      <c r="G47" s="17"/>
      <c r="H47" s="18"/>
      <c r="I47" s="18"/>
      <c r="J47" s="18"/>
      <c r="K47" s="18"/>
    </row>
    <row r="48" spans="1:11" x14ac:dyDescent="0.3">
      <c r="A48" s="17"/>
      <c r="B48" s="17"/>
      <c r="C48" s="17"/>
      <c r="D48" s="17"/>
      <c r="E48" s="17"/>
      <c r="F48" s="17"/>
      <c r="G48" s="17"/>
      <c r="H48" s="18"/>
      <c r="I48" s="18"/>
      <c r="J48" s="18"/>
      <c r="K48" s="18"/>
    </row>
    <row r="49" spans="1:11" x14ac:dyDescent="0.3">
      <c r="A49" s="17"/>
      <c r="B49" s="17"/>
      <c r="C49" s="17"/>
      <c r="D49" s="17"/>
      <c r="E49" s="17"/>
      <c r="F49" s="17"/>
      <c r="G49" s="17"/>
      <c r="H49" s="18"/>
      <c r="I49" s="18"/>
      <c r="J49" s="18"/>
      <c r="K49" s="18"/>
    </row>
    <row r="50" spans="1:11" x14ac:dyDescent="0.3">
      <c r="A50" s="17"/>
      <c r="B50" s="17"/>
      <c r="C50" s="17"/>
      <c r="D50" s="17"/>
      <c r="E50" s="17"/>
      <c r="F50" s="17"/>
      <c r="G50" s="17"/>
      <c r="H50" s="18"/>
      <c r="I50" s="18"/>
      <c r="J50" s="18"/>
      <c r="K50" s="18"/>
    </row>
    <row r="51" spans="1:11" x14ac:dyDescent="0.3">
      <c r="A51" s="17"/>
      <c r="B51" s="17"/>
      <c r="C51" s="17"/>
      <c r="D51" s="17"/>
      <c r="E51" s="17"/>
      <c r="F51" s="17"/>
      <c r="G51" s="17"/>
      <c r="H51" s="18"/>
      <c r="I51" s="18"/>
      <c r="J51" s="18"/>
      <c r="K51" s="18"/>
    </row>
    <row r="52" spans="1:11" x14ac:dyDescent="0.3">
      <c r="A52" s="17"/>
      <c r="B52" s="17"/>
      <c r="C52" s="17"/>
      <c r="D52" s="17"/>
      <c r="E52" s="17"/>
      <c r="F52" s="17"/>
      <c r="G52" s="17"/>
      <c r="H52" s="18"/>
      <c r="I52" s="18"/>
      <c r="J52" s="18"/>
      <c r="K52" s="18"/>
    </row>
  </sheetData>
  <mergeCells count="3">
    <mergeCell ref="A1:N3"/>
    <mergeCell ref="F6:O6"/>
    <mergeCell ref="A46:G52"/>
  </mergeCells>
  <phoneticPr fontId="20" type="noConversion"/>
  <pageMargins left="0.25" right="0.25" top="0.75" bottom="0.75" header="0.3" footer="0.3"/>
  <pageSetup paperSize="3" orientation="landscape" horizontalDpi="4294967293" verticalDpi="0" r:id="rId1"/>
  <drawing r:id="rId2"/>
  <tableParts count="1">
    <tablePart r:id="rId3"/>
  </tableParts>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2745-FBBF-403B-B9CE-8E678EE95F6D}">
  <dimension ref="A2:C15"/>
  <sheetViews>
    <sheetView workbookViewId="0">
      <selection activeCell="E15" sqref="E15"/>
    </sheetView>
  </sheetViews>
  <sheetFormatPr defaultRowHeight="14.4" x14ac:dyDescent="0.3"/>
  <cols>
    <col min="1" max="1" width="26.6640625" bestFit="1" customWidth="1"/>
    <col min="2" max="2" width="17.5546875" customWidth="1"/>
    <col min="3" max="3" width="15.77734375" customWidth="1"/>
  </cols>
  <sheetData>
    <row r="2" spans="1:3" x14ac:dyDescent="0.3">
      <c r="A2" s="8" t="s">
        <v>1052</v>
      </c>
      <c r="B2" s="8" t="s">
        <v>1053</v>
      </c>
    </row>
    <row r="3" spans="1:3" x14ac:dyDescent="0.3">
      <c r="A3" s="8" t="s">
        <v>1050</v>
      </c>
      <c r="B3" s="8"/>
    </row>
    <row r="4" spans="1:3" x14ac:dyDescent="0.3">
      <c r="A4" s="8" t="s">
        <v>1047</v>
      </c>
      <c r="B4" s="8">
        <f>COUNTA('Working Sheet'!A2:A1001)</f>
        <v>1000</v>
      </c>
    </row>
    <row r="5" spans="1:3" x14ac:dyDescent="0.3">
      <c r="A5" s="8" t="s">
        <v>1048</v>
      </c>
      <c r="B5" s="8">
        <f>COUNTA('Working Sheet'!G2:G1001)</f>
        <v>1000</v>
      </c>
    </row>
    <row r="6" spans="1:3" x14ac:dyDescent="0.3">
      <c r="A6" s="8" t="s">
        <v>1049</v>
      </c>
      <c r="B6" s="8">
        <f>SUM('Working Sheet'!G2:G1001)</f>
        <v>3271258</v>
      </c>
    </row>
    <row r="7" spans="1:3" x14ac:dyDescent="0.3">
      <c r="A7" s="8"/>
      <c r="B7" s="8"/>
    </row>
    <row r="8" spans="1:3" x14ac:dyDescent="0.3">
      <c r="A8" t="s">
        <v>1057</v>
      </c>
      <c r="B8" t="s">
        <v>1058</v>
      </c>
      <c r="C8" t="s">
        <v>1051</v>
      </c>
    </row>
    <row r="9" spans="1:3" x14ac:dyDescent="0.3">
      <c r="A9" t="s">
        <v>1054</v>
      </c>
      <c r="B9">
        <f>COUNTIF('Working Sheet'!J2:J1001,"High Risk")</f>
        <v>149</v>
      </c>
      <c r="C9" s="12">
        <f>COUNTIF('Working Sheet'!J2:J1001,"High Risk")/COUNTA('Working Sheet'!J2:J10001)</f>
        <v>0.14899999999999999</v>
      </c>
    </row>
    <row r="10" spans="1:3" x14ac:dyDescent="0.3">
      <c r="A10" t="s">
        <v>1055</v>
      </c>
      <c r="B10">
        <f>COUNTIF('Working Sheet'!J2:J1001,"Medium Risk")</f>
        <v>40</v>
      </c>
      <c r="C10" s="12">
        <f>COUNTIF('Working Sheet'!J2:J1001,"Medium Risk")/COUNTA('Working Sheet'!J2:J10001)</f>
        <v>0.04</v>
      </c>
    </row>
    <row r="11" spans="1:3" x14ac:dyDescent="0.3">
      <c r="A11" t="s">
        <v>1056</v>
      </c>
      <c r="B11">
        <f>COUNTIF('Working Sheet'!J2:J1001,"Low Risk")</f>
        <v>811</v>
      </c>
      <c r="C11" s="12">
        <f>COUNTIF('Working Sheet'!J2:J1001,"Low Risk")/COUNTA('Working Sheet'!J2:J10001)</f>
        <v>0.81100000000000005</v>
      </c>
    </row>
    <row r="13" spans="1:3" x14ac:dyDescent="0.3">
      <c r="B13" s="6"/>
    </row>
    <row r="14" spans="1:3" x14ac:dyDescent="0.3">
      <c r="B14" s="6"/>
    </row>
    <row r="15" spans="1:3" x14ac:dyDescent="0.3">
      <c r="B15" s="6"/>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German Credit Analysis</vt:lpstr>
      <vt:lpstr>Working Sheet</vt:lpstr>
      <vt:lpstr>Pivot table</vt:lpstr>
      <vt:lpstr>Credit Risk Analysis Dashboard</vt:lpstr>
      <vt:lpstr>KPI </vt:lpstr>
      <vt:lpstr>'Credit Risk Analysis 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Luvhani Tshisudzungwane</dc:creator>
  <cp:lastModifiedBy>Luvhani Tshisudzungwane</cp:lastModifiedBy>
  <cp:lastPrinted>2026-04-09T07:05:50Z</cp:lastPrinted>
  <dcterms:created xsi:type="dcterms:W3CDTF">2026-04-07T18:01:28Z</dcterms:created>
  <dcterms:modified xsi:type="dcterms:W3CDTF">2026-04-09T07:24:27Z</dcterms:modified>
</cp:coreProperties>
</file>